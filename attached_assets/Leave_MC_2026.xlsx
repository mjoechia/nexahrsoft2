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bekah\Lakshmi\2.HR Documents\Salary\"/>
    </mc:Choice>
  </mc:AlternateContent>
  <xr:revisionPtr revIDLastSave="0" documentId="13_ncr:1_{0B663CD2-0E5B-441B-A551-65FD88BF8490}" xr6:coauthVersionLast="47" xr6:coauthVersionMax="47" xr10:uidLastSave="{00000000-0000-0000-0000-000000000000}"/>
  <bookViews>
    <workbookView xWindow="-23148" yWindow="1104" windowWidth="23256" windowHeight="13896" firstSheet="6" activeTab="9" xr2:uid="{E8F3483D-A988-4C56-BD24-E050D65863EE}"/>
  </bookViews>
  <sheets>
    <sheet name="Sheet2" sheetId="11" r:id="rId1"/>
    <sheet name="Jan -Leave" sheetId="2" r:id="rId2"/>
    <sheet name="Jan-MC" sheetId="3" r:id="rId3"/>
    <sheet name="Feb-MC" sheetId="5" r:id="rId4"/>
    <sheet name="Feb-Leave" sheetId="7" r:id="rId5"/>
    <sheet name="MAR-Leave" sheetId="8" r:id="rId6"/>
    <sheet name="Mar-MC " sheetId="10" r:id="rId7"/>
    <sheet name="Apr-MC" sheetId="14" r:id="rId8"/>
    <sheet name="Apr-Leave" sheetId="13" r:id="rId9"/>
    <sheet name="Master Leave Sheet" sheetId="9" r:id="rId10"/>
    <sheet name="May-Leave" sheetId="15" r:id="rId11"/>
    <sheet name="May-MC" sheetId="16" r:id="rId12"/>
    <sheet name="Home Leave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9" l="1"/>
  <c r="X43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6" i="9"/>
  <c r="T9" i="9"/>
  <c r="P6" i="9"/>
  <c r="H12" i="11"/>
  <c r="T10" i="9"/>
  <c r="T6" i="9"/>
  <c r="H11" i="11"/>
  <c r="H13" i="11" s="1"/>
  <c r="L29" i="9"/>
  <c r="L33" i="9"/>
  <c r="L34" i="9"/>
  <c r="L35" i="9"/>
  <c r="L36" i="9"/>
  <c r="L30" i="9"/>
  <c r="L31" i="9"/>
  <c r="L32" i="9"/>
  <c r="L27" i="9"/>
  <c r="L28" i="9"/>
  <c r="L24" i="9"/>
  <c r="L25" i="9"/>
  <c r="L26" i="9"/>
  <c r="L22" i="9"/>
  <c r="L23" i="9"/>
  <c r="L21" i="9"/>
  <c r="L19" i="9"/>
  <c r="L20" i="9"/>
  <c r="L15" i="9"/>
  <c r="L16" i="9"/>
  <c r="L17" i="9"/>
  <c r="L18" i="9"/>
  <c r="L12" i="9"/>
  <c r="L13" i="9"/>
  <c r="L14" i="9"/>
  <c r="L10" i="9"/>
  <c r="L11" i="9"/>
  <c r="L8" i="9"/>
  <c r="L9" i="9"/>
  <c r="L7" i="9"/>
  <c r="T7" i="9"/>
  <c r="T8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P9" i="9"/>
  <c r="P47" i="9" l="1"/>
  <c r="P7" i="9"/>
  <c r="P8" i="9"/>
  <c r="P10" i="9"/>
  <c r="P11" i="9"/>
  <c r="P12" i="9"/>
  <c r="P13" i="9"/>
  <c r="P14" i="9"/>
  <c r="P15" i="9"/>
  <c r="P16" i="9"/>
  <c r="P17" i="9"/>
  <c r="P18" i="9"/>
  <c r="P19" i="9"/>
  <c r="P20" i="9"/>
  <c r="P46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L46" i="9"/>
  <c r="L47" i="9"/>
  <c r="G21" i="9" l="1"/>
  <c r="G25" i="9"/>
  <c r="G7" i="9"/>
  <c r="G9" i="9"/>
  <c r="G10" i="9"/>
  <c r="G11" i="9"/>
  <c r="G12" i="9"/>
  <c r="G13" i="9"/>
  <c r="G14" i="9"/>
  <c r="G15" i="9"/>
  <c r="G16" i="9"/>
  <c r="G17" i="9"/>
  <c r="G18" i="9"/>
  <c r="G19" i="9"/>
  <c r="G20" i="9"/>
  <c r="G46" i="9"/>
  <c r="G47" i="9"/>
  <c r="G22" i="9"/>
  <c r="G23" i="9"/>
  <c r="G24" i="9"/>
  <c r="G26" i="9"/>
  <c r="G27" i="9"/>
  <c r="G28" i="9"/>
  <c r="G29" i="9"/>
  <c r="G30" i="9"/>
  <c r="G31" i="9"/>
  <c r="G32" i="9"/>
  <c r="G33" i="9"/>
  <c r="G34" i="9"/>
  <c r="G35" i="9"/>
  <c r="G36" i="9"/>
  <c r="G6" i="9"/>
  <c r="M11" i="2"/>
  <c r="J14" i="2"/>
  <c r="M14" i="2" s="1"/>
  <c r="J6" i="2"/>
  <c r="M6" i="2" s="1"/>
  <c r="J5" i="2"/>
  <c r="M5" i="2" s="1"/>
  <c r="J8" i="2"/>
  <c r="M8" i="2" s="1"/>
  <c r="J9" i="2"/>
  <c r="M9" i="2" s="1"/>
  <c r="J10" i="2"/>
  <c r="M10" i="2" s="1"/>
  <c r="J11" i="2"/>
  <c r="J12" i="2"/>
  <c r="M12" i="2" s="1"/>
  <c r="J13" i="2"/>
  <c r="M13" i="2" s="1"/>
  <c r="J15" i="2"/>
  <c r="M15" i="2" s="1"/>
  <c r="J4" i="2"/>
  <c r="M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Hamserubyni Somasundram</author>
  </authors>
  <commentList>
    <comment ref="K13" authorId="0" shapeId="0" xr:uid="{0576C36E-84B4-4EEF-B9A7-73B0DBB52FB7}">
      <text>
        <r>
          <rPr>
            <b/>
            <sz val="9"/>
            <color indexed="81"/>
            <rFont val="Tahoma"/>
            <family val="2"/>
          </rPr>
          <t>Hamserubyni Somasundram:</t>
        </r>
        <r>
          <rPr>
            <sz val="9"/>
            <color indexed="81"/>
            <rFont val="Tahoma"/>
            <family val="2"/>
          </rPr>
          <t xml:space="preserve">
Feb-26 AL Deducted</t>
        </r>
      </text>
    </comment>
    <comment ref="N13" authorId="0" shapeId="0" xr:uid="{E870BDAE-FE91-4AA9-A959-6C7CEBCDAF6D}">
      <text>
        <r>
          <rPr>
            <b/>
            <sz val="9"/>
            <color indexed="81"/>
            <rFont val="Tahoma"/>
            <family val="2"/>
          </rPr>
          <t>Hamserubyni Somasundram:</t>
        </r>
        <r>
          <rPr>
            <sz val="9"/>
            <color indexed="81"/>
            <rFont val="Tahoma"/>
            <family val="2"/>
          </rPr>
          <t xml:space="preserve">
Feb-26 AL Deducted</t>
        </r>
      </text>
    </comment>
  </commentList>
</comments>
</file>

<file path=xl/sharedStrings.xml><?xml version="1.0" encoding="utf-8"?>
<sst xmlns="http://schemas.openxmlformats.org/spreadsheetml/2006/main" count="348" uniqueCount="208">
  <si>
    <t>Aminul Haq</t>
  </si>
  <si>
    <t>Lavaniah</t>
  </si>
  <si>
    <t>Kishanraj</t>
  </si>
  <si>
    <t>Name</t>
  </si>
  <si>
    <t>Total days</t>
  </si>
  <si>
    <t>Vishnu Pravin</t>
  </si>
  <si>
    <t>14/02/2026</t>
  </si>
  <si>
    <t>Mostafizur Rahman</t>
  </si>
  <si>
    <t>Martin Ng Soo Leong</t>
  </si>
  <si>
    <t>Lavaniah Punniyamuthy</t>
  </si>
  <si>
    <t>Muhammad Danish</t>
  </si>
  <si>
    <t>15/01/2026</t>
  </si>
  <si>
    <t>23/01/2026</t>
  </si>
  <si>
    <t>28/01/2026</t>
  </si>
  <si>
    <t>19/01/2026</t>
  </si>
  <si>
    <t>Govindaraj Kooriselvam</t>
  </si>
  <si>
    <t>Muthusamy Ragavan</t>
  </si>
  <si>
    <t>Samigovindhan Vijaykumar</t>
  </si>
  <si>
    <t>Nirhumalan Gangan</t>
  </si>
  <si>
    <t>Muthaliappan Kailasanathan</t>
  </si>
  <si>
    <t>Osman Goni</t>
  </si>
  <si>
    <t>Sathiskumar</t>
  </si>
  <si>
    <t>Abir Hossain</t>
  </si>
  <si>
    <t>13/1/2026</t>
  </si>
  <si>
    <t>Mohammad Bilal</t>
  </si>
  <si>
    <t>Ali Md Romjan</t>
  </si>
  <si>
    <t>14/1/2026</t>
  </si>
  <si>
    <t>15/1/2026</t>
  </si>
  <si>
    <t>16/1/2026</t>
  </si>
  <si>
    <t>19/1/2026</t>
  </si>
  <si>
    <t xml:space="preserve"> Murugan Sathishkumar</t>
  </si>
  <si>
    <t>21/1/2026</t>
  </si>
  <si>
    <t>Danish (Intern)</t>
  </si>
  <si>
    <t>Mustaq (Intern)</t>
  </si>
  <si>
    <t>Ramasamy Prabhaharan</t>
  </si>
  <si>
    <t>17/01/2026</t>
  </si>
  <si>
    <t>31/01/2026</t>
  </si>
  <si>
    <t>Vellaikkannu Vadivelu</t>
  </si>
  <si>
    <t xml:space="preserve">Kumaravel Malaikkolundhu </t>
  </si>
  <si>
    <t xml:space="preserve">Navenh Patmanathan </t>
  </si>
  <si>
    <t>22/01/2026</t>
  </si>
  <si>
    <t>22/1/2026</t>
  </si>
  <si>
    <t>Seenuvasan Rathinakumar</t>
  </si>
  <si>
    <t>Aslam</t>
  </si>
  <si>
    <t>26/01/2026</t>
  </si>
  <si>
    <t>Sathiskumar Malaysia</t>
  </si>
  <si>
    <t>28/1/2026</t>
  </si>
  <si>
    <t>Ali (Intern)</t>
  </si>
  <si>
    <t>30/01/2026</t>
  </si>
  <si>
    <t>29/01/2026</t>
  </si>
  <si>
    <t>MC - Feb 26</t>
  </si>
  <si>
    <t>LEAVE - Feb 26</t>
  </si>
  <si>
    <t>LEAVE - Jan 26</t>
  </si>
  <si>
    <t>MC - Jan 26</t>
  </si>
  <si>
    <t>FROM</t>
  </si>
  <si>
    <t>TO</t>
  </si>
  <si>
    <t>Nov Leave days</t>
  </si>
  <si>
    <t>Dec Leave days</t>
  </si>
  <si>
    <t>C/F to 2026</t>
  </si>
  <si>
    <t>Jan 26 Lve Days</t>
  </si>
  <si>
    <t>Balance Days</t>
  </si>
  <si>
    <t>Jan Leave</t>
  </si>
  <si>
    <t>Feb Leave</t>
  </si>
  <si>
    <t>Feb 26 Lve Days</t>
  </si>
  <si>
    <t xml:space="preserve">Balance upto From Nov </t>
  </si>
  <si>
    <t>PERUMAL GOVINDARASU</t>
  </si>
  <si>
    <t>LAVANIAH PUNNIYAMOORTHY</t>
  </si>
  <si>
    <t>NEGAPATAN FAITH</t>
  </si>
  <si>
    <t>VISHNU PRAVEEN</t>
  </si>
  <si>
    <t>AMINUL HAQ</t>
  </si>
  <si>
    <t>11 working days in Feb-26, Need to chk leave eligible in Feb</t>
  </si>
  <si>
    <t>LESS ; 2 DAYS CNY - Check his working day starts from 23, Need to chk leave eligible in Feb</t>
  </si>
  <si>
    <t>calculates as 5.5 days</t>
  </si>
  <si>
    <t>KISHANRAJ</t>
  </si>
  <si>
    <t>NIRMAL</t>
  </si>
  <si>
    <t>MOSTAFIZUR RAHMAN</t>
  </si>
  <si>
    <t>MURUGAN SATHISHKUMAR</t>
  </si>
  <si>
    <t>FEDEBRIC</t>
  </si>
  <si>
    <t>LAVANIAH</t>
  </si>
  <si>
    <t>OSMAN GONI</t>
  </si>
  <si>
    <t>NAVENH PATMANATHAN</t>
  </si>
  <si>
    <t>ASLAM</t>
  </si>
  <si>
    <t>MOLLAH RASEL</t>
  </si>
  <si>
    <t>HOSSAIN ABIR</t>
  </si>
  <si>
    <t>TULASI DASS</t>
  </si>
  <si>
    <t>NO PAY</t>
  </si>
  <si>
    <t>RAMACHANDRAN MOHAN DINESHKUMAR</t>
  </si>
  <si>
    <t>MARTIN</t>
  </si>
  <si>
    <t>PAID</t>
  </si>
  <si>
    <t>Leave Eligible</t>
  </si>
  <si>
    <t>VELLAIKKANNU VADIVELU</t>
  </si>
  <si>
    <t xml:space="preserve">PERUMAL GOVINDARASU </t>
  </si>
  <si>
    <t>MALAIKKOLUNDHU KUMARAVEL</t>
  </si>
  <si>
    <t>VISHNU PRAVIN S/O R RAMAYA</t>
  </si>
  <si>
    <t>SUJAN AHMED</t>
  </si>
  <si>
    <t>Total Eligible for 2025</t>
  </si>
  <si>
    <t>HAQ AMINUL</t>
  </si>
  <si>
    <t>SEENUVASAN RATHINAKUMAR</t>
  </si>
  <si>
    <t>SAMIGOVINDHAN VIJAYAKUMAR</t>
  </si>
  <si>
    <t>MOHAMMAD BILLAL</t>
  </si>
  <si>
    <t>SELVARAJ SATHIYASEELAN</t>
  </si>
  <si>
    <t>KANNAN SURYAPRAKASH</t>
  </si>
  <si>
    <t>RAJA ARULKUMAR</t>
  </si>
  <si>
    <t>KISHANRAJ PANNIR SELVAM</t>
  </si>
  <si>
    <t>MARTIN NG SOO LEONG</t>
  </si>
  <si>
    <t xml:space="preserve">MURUGAN SATHISHKUMAR </t>
  </si>
  <si>
    <t>ABOOL FEDEBRIC MORIL</t>
  </si>
  <si>
    <t>NIRHUMALAN GANGAN</t>
  </si>
  <si>
    <t>ALI MD ROMJAN</t>
  </si>
  <si>
    <t>MOLLA FIROZ</t>
  </si>
  <si>
    <t>GOVINDARAJ KOORI SELVAM</t>
  </si>
  <si>
    <t>TULASI DASS S/O JAYARAM GOVINDASAMY</t>
  </si>
  <si>
    <t>SHIL SHAM SUNDAR</t>
  </si>
  <si>
    <t>NAVENH PATMANATHAN MOHAN RAJ</t>
  </si>
  <si>
    <t>OSMAN GONI MOHAMMAD</t>
  </si>
  <si>
    <t xml:space="preserve">PRABHAHARAN RAMASAMY </t>
  </si>
  <si>
    <t>RAMACHANDRAN MOHAN DINESH KUMAR</t>
  </si>
  <si>
    <t>RANA</t>
  </si>
  <si>
    <t>SAKTHIVEL MUTHULAKSHMI</t>
  </si>
  <si>
    <t>MUTHALIAPPAN KAILASANATHAN</t>
  </si>
  <si>
    <t>S.No</t>
  </si>
  <si>
    <t>NAMES</t>
  </si>
  <si>
    <t>Closing of 2026</t>
  </si>
  <si>
    <t>2026 Total Eligible Leave</t>
  </si>
  <si>
    <t>Feb-26 Leave Taken</t>
  </si>
  <si>
    <t>Balance WEF  Nov-25</t>
  </si>
  <si>
    <t>Leave Taken on 30/11/2025</t>
  </si>
  <si>
    <t>Leave Taken on31/12/2025</t>
  </si>
  <si>
    <t xml:space="preserve">2025 Leave balance </t>
  </si>
  <si>
    <t>CF From 2025 to 2026</t>
  </si>
  <si>
    <t>Jan-26 Leave Taken</t>
  </si>
  <si>
    <t>Earn Leave for Jan 26</t>
  </si>
  <si>
    <t>Leave Adjustment for Jan-26</t>
  </si>
  <si>
    <t xml:space="preserve">CF Leave to Feb-26 </t>
  </si>
  <si>
    <t>Earn Leave for Feb 26</t>
  </si>
  <si>
    <t>Leave Adjustment for Feb-26</t>
  </si>
  <si>
    <t xml:space="preserve">CF Leave to Mar-26 </t>
  </si>
  <si>
    <t xml:space="preserve">CF Leave to Apr-26 </t>
  </si>
  <si>
    <t>Earn Leave for Mar 26</t>
  </si>
  <si>
    <t>Mar-26 Leave Taken</t>
  </si>
  <si>
    <t>Leave Adjustment for Mar-26</t>
  </si>
  <si>
    <t>RAJU PAVEL</t>
  </si>
  <si>
    <t>UZZAL</t>
  </si>
  <si>
    <t>SHOHEL</t>
  </si>
  <si>
    <t>GOVINDASAMY VIGNESH</t>
  </si>
  <si>
    <t>DAS RIPON CHANDRA</t>
  </si>
  <si>
    <t>HIRIDHARAN RAJANDRAN</t>
  </si>
  <si>
    <t>UDAYAPPAN SELVARASU</t>
  </si>
  <si>
    <t>MC - Mar 26</t>
  </si>
  <si>
    <t>Nirmal</t>
  </si>
  <si>
    <t>Hossain Abir</t>
  </si>
  <si>
    <t>Vishnu Praveen</t>
  </si>
  <si>
    <t>Raju Pavel</t>
  </si>
  <si>
    <t>Navenh Patmanathan</t>
  </si>
  <si>
    <t>Kailasanathan</t>
  </si>
  <si>
    <t>Sathiyaseelan</t>
  </si>
  <si>
    <t>Faith</t>
  </si>
  <si>
    <t>1/2 day</t>
  </si>
  <si>
    <t>Osman</t>
  </si>
  <si>
    <t>Unpaid Leave</t>
  </si>
  <si>
    <t>LEAVE - MAR 26</t>
  </si>
  <si>
    <t>Resigned on Mar 20</t>
  </si>
  <si>
    <t>Resigned on Mar 21</t>
  </si>
  <si>
    <t>Paying salary for 8 days working only. For Leave days payment after he comeback only</t>
  </si>
  <si>
    <t>Kishan Leave Records</t>
  </si>
  <si>
    <t>In Dec 4 days Unpaid leave. So No Leave CF to 2026</t>
  </si>
  <si>
    <t>Earn Leave</t>
  </si>
  <si>
    <t>Leave Taken</t>
  </si>
  <si>
    <t>12/3/26 (1/2 day)</t>
  </si>
  <si>
    <t>Month</t>
  </si>
  <si>
    <t>Balance Leave days</t>
  </si>
  <si>
    <t>Earn Leave for Apr 26</t>
  </si>
  <si>
    <t>Apr-26 Leave Taken</t>
  </si>
  <si>
    <t>Leave Adjustment for Apr-26</t>
  </si>
  <si>
    <t>ONG SIEW KEOW</t>
  </si>
  <si>
    <t>NAME</t>
  </si>
  <si>
    <t>TOTAL DAYS</t>
  </si>
  <si>
    <t>VELLAIKANNU VADIVELU</t>
  </si>
  <si>
    <t>KUMARAVEL MALAIKOLUNTHU</t>
  </si>
  <si>
    <t>S.NO</t>
  </si>
  <si>
    <t>RM DINESHKUMAR</t>
  </si>
  <si>
    <t>GOVINDARAJ KOORISELVAM</t>
  </si>
  <si>
    <t>FAITH NEGAPATAN JR</t>
  </si>
  <si>
    <t>LEAVE - APR 26</t>
  </si>
  <si>
    <t>Selvaraj Sathiyaseelam</t>
  </si>
  <si>
    <t>Naveenh</t>
  </si>
  <si>
    <t>Vijay</t>
  </si>
  <si>
    <t>Perumal Govindarasu</t>
  </si>
  <si>
    <t>DAS Ripon Chandra</t>
  </si>
  <si>
    <t>OFF In LIEU</t>
  </si>
  <si>
    <t>TULASI</t>
  </si>
  <si>
    <t>MC</t>
  </si>
  <si>
    <t>Leave</t>
  </si>
  <si>
    <t>Sakthivel Muthulakshmi</t>
  </si>
  <si>
    <t>Ong Siew Keow</t>
  </si>
  <si>
    <t>Ahmed Sujan</t>
  </si>
  <si>
    <t>Martin</t>
  </si>
  <si>
    <t>MC - MAY 26</t>
  </si>
  <si>
    <t>MC - APR 26</t>
  </si>
  <si>
    <t>Velu</t>
  </si>
  <si>
    <t>Mollah Rasel</t>
  </si>
  <si>
    <t>Vishnu (ICT)</t>
  </si>
  <si>
    <t>VISHNU (ICT)</t>
  </si>
  <si>
    <t>Vishnu</t>
  </si>
  <si>
    <t>All Checked - OK</t>
  </si>
  <si>
    <t>on 30/4/26</t>
  </si>
  <si>
    <t>Unpaid Apr for 7 days</t>
  </si>
  <si>
    <t>Paid Leave for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</si>
</sst>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17" fontId="4" fillId="6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7" fontId="4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2" xfId="0" applyFont="1" applyFill="1" applyBorder="1"/>
    <xf numFmtId="0" fontId="0" fillId="0" borderId="1" xfId="0" applyBorder="1" applyAlignment="1">
      <alignment horizontal="left"/>
    </xf>
    <xf numFmtId="17" fontId="0" fillId="0" borderId="0" xfId="0" applyNumberFormat="1"/>
    <xf numFmtId="14" fontId="0" fillId="0" borderId="0" xfId="0" applyNumberFormat="1"/>
    <xf numFmtId="1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7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7" xfId="0" applyFill="1" applyBorder="1" applyAlignment="1">
      <alignment horizontal="left"/>
    </xf>
    <xf numFmtId="14" fontId="0" fillId="8" borderId="7" xfId="0" applyNumberFormat="1" applyFill="1" applyBorder="1" applyAlignment="1">
      <alignment horizontal="center"/>
    </xf>
    <xf numFmtId="14" fontId="0" fillId="0" borderId="1" xfId="0" applyNumberFormat="1" applyBorder="1"/>
    <xf numFmtId="0" fontId="0" fillId="3" borderId="7" xfId="0" applyFill="1" applyBorder="1" applyAlignment="1">
      <alignment wrapText="1"/>
    </xf>
    <xf numFmtId="0" fontId="0" fillId="8" borderId="1" xfId="0" applyFill="1" applyBorder="1" applyAlignment="1">
      <alignment horizontal="left"/>
    </xf>
    <xf numFmtId="0" fontId="0" fillId="8" borderId="0" xfId="0" applyFill="1"/>
    <xf numFmtId="0" fontId="2" fillId="3" borderId="0" xfId="0" applyFont="1" applyFill="1"/>
    <xf numFmtId="14" fontId="0" fillId="3" borderId="7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7" xfId="0" applyFill="1" applyBorder="1" applyAlignment="1">
      <alignment horizontal="left"/>
    </xf>
    <xf numFmtId="14" fontId="0" fillId="6" borderId="7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9" borderId="7" xfId="0" applyFill="1" applyBorder="1" applyAlignment="1">
      <alignment horizontal="left"/>
    </xf>
    <xf numFmtId="14" fontId="0" fillId="9" borderId="7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164" fontId="0" fillId="4" borderId="7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A23E-3520-472F-9899-99DF32909480}">
  <dimension ref="E4:K17"/>
  <sheetViews>
    <sheetView workbookViewId="0">
      <selection activeCell="H14" sqref="H14"/>
    </sheetView>
  </sheetViews>
  <sheetFormatPr defaultRowHeight="15" x14ac:dyDescent="0.25"/>
  <cols>
    <col min="6" max="6" width="10.5703125" customWidth="1"/>
    <col min="7" max="7" width="14" customWidth="1"/>
    <col min="8" max="8" width="11.28515625" customWidth="1"/>
    <col min="9" max="9" width="9.85546875" bestFit="1" customWidth="1"/>
    <col min="10" max="10" width="8.5703125" customWidth="1"/>
    <col min="11" max="11" width="9.85546875" bestFit="1" customWidth="1"/>
  </cols>
  <sheetData>
    <row r="4" spans="5:11" x14ac:dyDescent="0.25">
      <c r="E4" t="s">
        <v>164</v>
      </c>
    </row>
    <row r="6" spans="5:11" x14ac:dyDescent="0.25">
      <c r="E6" s="20">
        <v>2025</v>
      </c>
      <c r="F6" t="s">
        <v>165</v>
      </c>
    </row>
    <row r="7" spans="5:11" x14ac:dyDescent="0.25">
      <c r="E7" s="20"/>
    </row>
    <row r="9" spans="5:11" x14ac:dyDescent="0.25">
      <c r="E9" s="76">
        <v>2026</v>
      </c>
      <c r="F9" s="76"/>
      <c r="G9" s="76"/>
      <c r="H9" s="76"/>
    </row>
    <row r="10" spans="5:11" ht="34.5" customHeight="1" x14ac:dyDescent="0.25">
      <c r="E10" s="46" t="s">
        <v>169</v>
      </c>
      <c r="F10" s="46" t="s">
        <v>166</v>
      </c>
      <c r="G10" s="46" t="s">
        <v>167</v>
      </c>
      <c r="H10" s="47" t="s">
        <v>170</v>
      </c>
    </row>
    <row r="11" spans="5:11" ht="19.5" customHeight="1" x14ac:dyDescent="0.25">
      <c r="E11" s="39">
        <v>46023</v>
      </c>
      <c r="F11" s="20">
        <v>1</v>
      </c>
      <c r="G11" s="20">
        <v>0</v>
      </c>
      <c r="H11" s="20">
        <f>F11-G11</f>
        <v>1</v>
      </c>
    </row>
    <row r="12" spans="5:11" ht="19.5" customHeight="1" x14ac:dyDescent="0.25">
      <c r="E12" s="39">
        <v>46054</v>
      </c>
      <c r="F12" s="20">
        <v>1</v>
      </c>
      <c r="G12" s="20">
        <v>1</v>
      </c>
      <c r="H12" s="20">
        <f>H11+F12-G12</f>
        <v>1</v>
      </c>
      <c r="I12" s="40">
        <v>46069</v>
      </c>
    </row>
    <row r="13" spans="5:11" ht="30.75" customHeight="1" x14ac:dyDescent="0.25">
      <c r="E13" s="41">
        <v>46082</v>
      </c>
      <c r="F13" s="42">
        <v>1</v>
      </c>
      <c r="G13" s="42">
        <v>2.5</v>
      </c>
      <c r="H13" s="42">
        <f>H12+F13-G13</f>
        <v>-0.5</v>
      </c>
      <c r="I13" s="43">
        <v>46087</v>
      </c>
      <c r="J13" s="44" t="s">
        <v>168</v>
      </c>
      <c r="K13" s="45">
        <v>46108</v>
      </c>
    </row>
    <row r="14" spans="5:11" ht="19.5" customHeight="1" x14ac:dyDescent="0.25">
      <c r="E14" s="41">
        <v>46113</v>
      </c>
      <c r="F14" s="42">
        <v>1</v>
      </c>
      <c r="G14" s="20">
        <v>1.5</v>
      </c>
      <c r="H14" s="42">
        <v>0.5</v>
      </c>
    </row>
    <row r="15" spans="5:11" ht="19.5" customHeight="1" x14ac:dyDescent="0.25">
      <c r="F15" s="20"/>
      <c r="G15" s="20"/>
      <c r="H15" s="20"/>
    </row>
    <row r="16" spans="5:11" ht="19.5" customHeight="1" x14ac:dyDescent="0.25"/>
    <row r="17" ht="19.5" customHeight="1" x14ac:dyDescent="0.25"/>
  </sheetData>
  <mergeCells count="1">
    <mergeCell ref="E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F2F4-5A39-4D59-8BFC-81777AE7B326}">
  <dimension ref="A2:P25"/>
  <sheetViews>
    <sheetView workbookViewId="0">
      <pane xSplit="6" topLeftCell="H1" activePane="topRight" state="frozen"/>
      <selection pane="topRight" activeCell="F11" sqref="F11"/>
    </sheetView>
  </sheetViews>
  <sheetFormatPr defaultRowHeight="15" x14ac:dyDescent="0.25"/>
  <cols>
    <col min="3" max="3" width="9.42578125" bestFit="1" customWidth="1"/>
    <col min="5" max="5" width="19.140625" customWidth="1"/>
    <col min="6" max="6" width="16.85546875" customWidth="1"/>
    <col min="7" max="9" width="10.7109375" customWidth="1"/>
    <col min="10" max="10" width="10.28515625" customWidth="1"/>
    <col min="11" max="12" width="10.85546875" customWidth="1"/>
    <col min="13" max="14" width="10" customWidth="1"/>
    <col min="15" max="15" width="13.42578125" customWidth="1"/>
  </cols>
  <sheetData>
    <row r="2" spans="1:16" ht="19.5" x14ac:dyDescent="0.3">
      <c r="A2" s="75" t="s">
        <v>52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9"/>
    </row>
    <row r="3" spans="1:16" ht="48.75" customHeight="1" x14ac:dyDescent="0.25">
      <c r="A3" s="82" t="s">
        <v>3</v>
      </c>
      <c r="B3" s="82"/>
      <c r="C3" s="82"/>
      <c r="D3" s="82" t="s">
        <v>54</v>
      </c>
      <c r="E3" s="82"/>
      <c r="F3" s="6" t="s">
        <v>55</v>
      </c>
      <c r="G3" s="5" t="s">
        <v>64</v>
      </c>
      <c r="H3" s="5" t="s">
        <v>56</v>
      </c>
      <c r="I3" s="5" t="s">
        <v>57</v>
      </c>
      <c r="J3" s="7" t="s">
        <v>58</v>
      </c>
      <c r="K3" s="5" t="s">
        <v>61</v>
      </c>
      <c r="L3" s="5" t="s">
        <v>59</v>
      </c>
      <c r="M3" s="5" t="s">
        <v>60</v>
      </c>
      <c r="N3" s="5" t="s">
        <v>62</v>
      </c>
      <c r="O3" s="5" t="s">
        <v>63</v>
      </c>
      <c r="P3" s="5" t="s">
        <v>60</v>
      </c>
    </row>
    <row r="4" spans="1:16" ht="22.5" customHeight="1" x14ac:dyDescent="0.25">
      <c r="A4" s="81" t="s">
        <v>34</v>
      </c>
      <c r="B4" s="81"/>
      <c r="C4" s="81"/>
      <c r="D4" s="77" t="s">
        <v>11</v>
      </c>
      <c r="E4" s="77"/>
      <c r="F4" s="2" t="s">
        <v>35</v>
      </c>
      <c r="G4" s="1">
        <v>3</v>
      </c>
      <c r="H4" s="1">
        <v>0</v>
      </c>
      <c r="I4" s="1">
        <v>0</v>
      </c>
      <c r="J4" s="8">
        <f>G4-H4-I4</f>
        <v>3</v>
      </c>
      <c r="K4" s="1">
        <v>1</v>
      </c>
      <c r="L4" s="1">
        <v>3</v>
      </c>
      <c r="M4" s="1">
        <f>J4+K4-L4</f>
        <v>1</v>
      </c>
      <c r="N4" s="1"/>
      <c r="O4" s="1"/>
      <c r="P4" s="1"/>
    </row>
    <row r="5" spans="1:16" ht="22.5" customHeight="1" x14ac:dyDescent="0.25">
      <c r="A5" s="81" t="s">
        <v>7</v>
      </c>
      <c r="B5" s="81"/>
      <c r="C5" s="81"/>
      <c r="D5" s="77" t="s">
        <v>12</v>
      </c>
      <c r="E5" s="77"/>
      <c r="F5" s="2" t="s">
        <v>12</v>
      </c>
      <c r="G5" s="1">
        <v>6</v>
      </c>
      <c r="H5" s="1">
        <v>0</v>
      </c>
      <c r="I5" s="1">
        <v>0</v>
      </c>
      <c r="J5" s="8">
        <f t="shared" ref="J5:J15" si="0">G5-H5-I5</f>
        <v>6</v>
      </c>
      <c r="K5" s="1">
        <v>1</v>
      </c>
      <c r="L5" s="1">
        <v>1</v>
      </c>
      <c r="M5" s="1">
        <f>J5+K5-L5</f>
        <v>6</v>
      </c>
      <c r="N5" s="1"/>
      <c r="O5" s="1"/>
      <c r="P5" s="1"/>
    </row>
    <row r="6" spans="1:16" ht="22.5" customHeight="1" x14ac:dyDescent="0.25">
      <c r="A6" s="81" t="s">
        <v>8</v>
      </c>
      <c r="B6" s="81"/>
      <c r="C6" s="81"/>
      <c r="D6" s="77" t="s">
        <v>14</v>
      </c>
      <c r="E6" s="77"/>
      <c r="F6" s="2" t="s">
        <v>14</v>
      </c>
      <c r="G6" s="82">
        <v>7</v>
      </c>
      <c r="H6" s="82">
        <v>2</v>
      </c>
      <c r="I6" s="82">
        <v>0</v>
      </c>
      <c r="J6" s="83">
        <f>G6-H6-I6</f>
        <v>5</v>
      </c>
      <c r="K6" s="79">
        <v>1</v>
      </c>
      <c r="L6" s="82">
        <v>4</v>
      </c>
      <c r="M6" s="79">
        <f>J6+K6-L6</f>
        <v>2</v>
      </c>
      <c r="N6" s="79"/>
      <c r="O6" s="82"/>
      <c r="P6" s="79"/>
    </row>
    <row r="7" spans="1:16" ht="22.5" customHeight="1" x14ac:dyDescent="0.25">
      <c r="A7" s="81" t="s">
        <v>8</v>
      </c>
      <c r="B7" s="81"/>
      <c r="C7" s="81"/>
      <c r="D7" s="77" t="s">
        <v>13</v>
      </c>
      <c r="E7" s="77"/>
      <c r="F7" s="2">
        <v>46052</v>
      </c>
      <c r="G7" s="82"/>
      <c r="H7" s="82"/>
      <c r="I7" s="82"/>
      <c r="J7" s="83"/>
      <c r="K7" s="80"/>
      <c r="L7" s="82"/>
      <c r="M7" s="80"/>
      <c r="N7" s="80"/>
      <c r="O7" s="82"/>
      <c r="P7" s="80"/>
    </row>
    <row r="8" spans="1:16" s="14" customFormat="1" ht="22.5" customHeight="1" x14ac:dyDescent="0.25">
      <c r="A8" s="85" t="s">
        <v>18</v>
      </c>
      <c r="B8" s="85"/>
      <c r="C8" s="85"/>
      <c r="D8" s="86">
        <v>46041</v>
      </c>
      <c r="E8" s="86"/>
      <c r="F8" s="11" t="s">
        <v>36</v>
      </c>
      <c r="G8" s="12">
        <v>2</v>
      </c>
      <c r="H8" s="12">
        <v>1</v>
      </c>
      <c r="I8" s="12">
        <v>1</v>
      </c>
      <c r="J8" s="13">
        <f t="shared" si="0"/>
        <v>0</v>
      </c>
      <c r="K8" s="12">
        <v>1</v>
      </c>
      <c r="L8" s="12">
        <v>11</v>
      </c>
      <c r="M8" s="12">
        <f>J8+K8-L8</f>
        <v>-10</v>
      </c>
      <c r="N8" s="12"/>
      <c r="O8" s="12"/>
      <c r="P8" s="12"/>
    </row>
    <row r="9" spans="1:16" ht="22.5" customHeight="1" x14ac:dyDescent="0.25">
      <c r="A9" s="81" t="s">
        <v>37</v>
      </c>
      <c r="B9" s="81"/>
      <c r="C9" s="81"/>
      <c r="D9" s="77">
        <v>46038</v>
      </c>
      <c r="E9" s="77"/>
      <c r="F9" s="2" t="s">
        <v>12</v>
      </c>
      <c r="G9" s="1">
        <v>4.5</v>
      </c>
      <c r="H9" s="1">
        <v>0</v>
      </c>
      <c r="I9" s="1">
        <v>0</v>
      </c>
      <c r="J9" s="8">
        <f t="shared" si="0"/>
        <v>4.5</v>
      </c>
      <c r="K9" s="1">
        <v>1</v>
      </c>
      <c r="L9" s="1">
        <v>5.5</v>
      </c>
      <c r="M9" s="1">
        <f t="shared" ref="M9:M15" si="1">J9+K9-L9</f>
        <v>0</v>
      </c>
      <c r="N9" s="1"/>
      <c r="O9" s="1"/>
      <c r="P9" s="1"/>
    </row>
    <row r="10" spans="1:16" ht="22.5" customHeight="1" x14ac:dyDescent="0.25">
      <c r="A10" s="84" t="s">
        <v>38</v>
      </c>
      <c r="B10" s="84"/>
      <c r="C10" s="84"/>
      <c r="D10" s="77">
        <v>46035</v>
      </c>
      <c r="E10" s="77"/>
      <c r="F10" s="2">
        <v>46043</v>
      </c>
      <c r="G10" s="1">
        <v>12</v>
      </c>
      <c r="H10" s="1">
        <v>0</v>
      </c>
      <c r="I10" s="1">
        <v>0</v>
      </c>
      <c r="J10" s="8">
        <f t="shared" si="0"/>
        <v>12</v>
      </c>
      <c r="K10" s="1">
        <v>1</v>
      </c>
      <c r="L10" s="1">
        <v>7.5</v>
      </c>
      <c r="M10" s="1">
        <f t="shared" si="1"/>
        <v>5.5</v>
      </c>
      <c r="N10" s="1"/>
      <c r="O10" s="1"/>
      <c r="P10" s="1"/>
    </row>
    <row r="11" spans="1:16" s="14" customFormat="1" ht="22.5" customHeight="1" x14ac:dyDescent="0.25">
      <c r="A11" s="10" t="s">
        <v>39</v>
      </c>
      <c r="B11" s="10"/>
      <c r="C11" s="10"/>
      <c r="D11" s="86">
        <v>46038</v>
      </c>
      <c r="E11" s="86"/>
      <c r="F11" s="11">
        <v>46046</v>
      </c>
      <c r="G11" s="12">
        <v>3</v>
      </c>
      <c r="H11" s="12">
        <v>0</v>
      </c>
      <c r="I11" s="12">
        <v>0</v>
      </c>
      <c r="J11" s="13">
        <f t="shared" si="0"/>
        <v>3</v>
      </c>
      <c r="K11" s="12">
        <v>1</v>
      </c>
      <c r="L11" s="12">
        <v>7</v>
      </c>
      <c r="M11" s="12">
        <f>J11+K11-L11</f>
        <v>-3</v>
      </c>
      <c r="N11" s="12"/>
      <c r="O11" s="12"/>
      <c r="P11" s="12"/>
    </row>
    <row r="12" spans="1:16" ht="22.5" customHeight="1" x14ac:dyDescent="0.25">
      <c r="A12" s="81" t="s">
        <v>5</v>
      </c>
      <c r="B12" s="81"/>
      <c r="C12" s="81"/>
      <c r="D12" s="77">
        <v>46044</v>
      </c>
      <c r="E12" s="77"/>
      <c r="F12" s="2" t="s">
        <v>40</v>
      </c>
      <c r="G12" s="1">
        <v>3</v>
      </c>
      <c r="H12" s="1">
        <v>0</v>
      </c>
      <c r="I12" s="1">
        <v>1</v>
      </c>
      <c r="J12" s="8">
        <f t="shared" si="0"/>
        <v>2</v>
      </c>
      <c r="K12" s="1">
        <v>1</v>
      </c>
      <c r="L12" s="1">
        <v>1</v>
      </c>
      <c r="M12" s="1">
        <f t="shared" si="1"/>
        <v>2</v>
      </c>
      <c r="N12" s="1"/>
      <c r="O12" s="1"/>
      <c r="P12" s="1"/>
    </row>
    <row r="13" spans="1:16" ht="22.5" customHeight="1" x14ac:dyDescent="0.25">
      <c r="A13" s="81" t="s">
        <v>9</v>
      </c>
      <c r="B13" s="81"/>
      <c r="C13" s="81"/>
      <c r="D13" s="90" t="s">
        <v>13</v>
      </c>
      <c r="E13" s="90"/>
      <c r="F13" s="2" t="s">
        <v>13</v>
      </c>
      <c r="G13" s="1">
        <v>0</v>
      </c>
      <c r="H13" s="1">
        <v>0</v>
      </c>
      <c r="I13" s="1">
        <v>0</v>
      </c>
      <c r="J13" s="8">
        <f t="shared" si="0"/>
        <v>0</v>
      </c>
      <c r="K13" s="1">
        <v>1</v>
      </c>
      <c r="L13" s="1">
        <v>1</v>
      </c>
      <c r="M13" s="1">
        <f t="shared" si="1"/>
        <v>0</v>
      </c>
      <c r="N13" s="1"/>
      <c r="O13" s="1"/>
      <c r="P13" s="1"/>
    </row>
    <row r="14" spans="1:16" ht="22.5" customHeight="1" x14ac:dyDescent="0.25">
      <c r="A14" s="81" t="s">
        <v>9</v>
      </c>
      <c r="B14" s="81"/>
      <c r="C14" s="81"/>
      <c r="D14" s="77">
        <v>46024</v>
      </c>
      <c r="E14" s="77"/>
      <c r="F14" s="2">
        <v>46024</v>
      </c>
      <c r="G14" s="1">
        <v>-1</v>
      </c>
      <c r="H14" s="1">
        <v>0</v>
      </c>
      <c r="I14" s="1">
        <v>0</v>
      </c>
      <c r="J14" s="8">
        <f t="shared" ref="J14" si="2">G14-H14-I14</f>
        <v>-1</v>
      </c>
      <c r="K14" s="1">
        <v>1</v>
      </c>
      <c r="L14" s="1">
        <v>1</v>
      </c>
      <c r="M14" s="1">
        <f t="shared" si="1"/>
        <v>-1</v>
      </c>
      <c r="N14" s="1">
        <v>2</v>
      </c>
      <c r="O14" s="1">
        <v>0</v>
      </c>
      <c r="P14" s="1">
        <v>-2</v>
      </c>
    </row>
    <row r="15" spans="1:16" ht="22.5" customHeight="1" x14ac:dyDescent="0.25">
      <c r="A15" s="84" t="s">
        <v>45</v>
      </c>
      <c r="B15" s="84"/>
      <c r="C15" s="84"/>
      <c r="D15" s="90" t="s">
        <v>13</v>
      </c>
      <c r="E15" s="90"/>
      <c r="F15" s="2" t="s">
        <v>13</v>
      </c>
      <c r="G15" s="1">
        <v>0</v>
      </c>
      <c r="H15" s="1">
        <v>0</v>
      </c>
      <c r="I15" s="1">
        <v>0</v>
      </c>
      <c r="J15" s="8">
        <f t="shared" si="0"/>
        <v>0</v>
      </c>
      <c r="K15" s="1">
        <v>1</v>
      </c>
      <c r="L15" s="1">
        <v>1</v>
      </c>
      <c r="M15" s="1">
        <f t="shared" si="1"/>
        <v>0</v>
      </c>
      <c r="N15" s="1"/>
      <c r="O15" s="1"/>
      <c r="P15" s="1"/>
    </row>
    <row r="16" spans="1:16" x14ac:dyDescent="0.25">
      <c r="A16" s="89"/>
      <c r="B16" s="89"/>
      <c r="C16" s="89"/>
      <c r="D16" s="87"/>
      <c r="E16" s="87"/>
    </row>
    <row r="17" spans="1:6" x14ac:dyDescent="0.25">
      <c r="A17" s="78"/>
      <c r="B17" s="78"/>
      <c r="C17" s="78"/>
      <c r="D17" s="88"/>
      <c r="E17" s="88"/>
    </row>
    <row r="18" spans="1:6" x14ac:dyDescent="0.25">
      <c r="A18" s="78"/>
      <c r="B18" s="78"/>
      <c r="C18" s="78"/>
      <c r="D18" s="88"/>
      <c r="E18" s="88"/>
    </row>
    <row r="19" spans="1:6" x14ac:dyDescent="0.25">
      <c r="A19" s="78"/>
      <c r="B19" s="78"/>
      <c r="C19" s="78"/>
      <c r="D19" s="88"/>
      <c r="E19" s="88"/>
    </row>
    <row r="20" spans="1:6" x14ac:dyDescent="0.25">
      <c r="A20" s="78"/>
      <c r="B20" s="78"/>
      <c r="C20" s="78"/>
      <c r="D20" s="88"/>
      <c r="E20" s="88"/>
    </row>
    <row r="21" spans="1:6" x14ac:dyDescent="0.25">
      <c r="A21" s="78"/>
      <c r="B21" s="78"/>
      <c r="C21" s="78"/>
      <c r="D21" s="88"/>
      <c r="E21" s="88"/>
    </row>
    <row r="22" spans="1:6" x14ac:dyDescent="0.25">
      <c r="A22" s="78"/>
      <c r="B22" s="78"/>
      <c r="C22" s="78"/>
      <c r="D22" s="88"/>
      <c r="E22" s="88"/>
    </row>
    <row r="23" spans="1:6" x14ac:dyDescent="0.25">
      <c r="A23" s="81" t="s">
        <v>10</v>
      </c>
      <c r="B23" s="81"/>
      <c r="C23" s="81"/>
      <c r="D23" s="77">
        <v>46027</v>
      </c>
      <c r="E23" s="77"/>
      <c r="F23" s="2">
        <v>46027</v>
      </c>
    </row>
    <row r="24" spans="1:6" x14ac:dyDescent="0.25">
      <c r="A24" s="78"/>
      <c r="B24" s="78"/>
      <c r="C24" s="78"/>
      <c r="D24" s="88"/>
      <c r="E24" s="88"/>
    </row>
    <row r="25" spans="1:6" x14ac:dyDescent="0.25">
      <c r="A25" s="78"/>
      <c r="B25" s="78"/>
      <c r="C25" s="78"/>
      <c r="D25" s="88"/>
      <c r="E25" s="88"/>
    </row>
  </sheetData>
  <mergeCells count="56">
    <mergeCell ref="N6:N7"/>
    <mergeCell ref="O6:O7"/>
    <mergeCell ref="P6:P7"/>
    <mergeCell ref="A21:C21"/>
    <mergeCell ref="A22:C22"/>
    <mergeCell ref="A15:C15"/>
    <mergeCell ref="D15:E15"/>
    <mergeCell ref="D11:E11"/>
    <mergeCell ref="A12:C12"/>
    <mergeCell ref="D12:E12"/>
    <mergeCell ref="A13:C13"/>
    <mergeCell ref="D13:E13"/>
    <mergeCell ref="D6:E6"/>
    <mergeCell ref="D9:E9"/>
    <mergeCell ref="A24:C24"/>
    <mergeCell ref="A25:C25"/>
    <mergeCell ref="D16:E16"/>
    <mergeCell ref="D17:E17"/>
    <mergeCell ref="D18:E18"/>
    <mergeCell ref="D19:E19"/>
    <mergeCell ref="D20:E20"/>
    <mergeCell ref="D21:E21"/>
    <mergeCell ref="D22:E22"/>
    <mergeCell ref="D24:E24"/>
    <mergeCell ref="D25:E25"/>
    <mergeCell ref="A16:C16"/>
    <mergeCell ref="A17:C17"/>
    <mergeCell ref="A18:C18"/>
    <mergeCell ref="A20:C20"/>
    <mergeCell ref="A23:C23"/>
    <mergeCell ref="A2:M2"/>
    <mergeCell ref="A8:C8"/>
    <mergeCell ref="A3:C3"/>
    <mergeCell ref="D3:E3"/>
    <mergeCell ref="A6:C6"/>
    <mergeCell ref="A4:C4"/>
    <mergeCell ref="A5:C5"/>
    <mergeCell ref="D4:E4"/>
    <mergeCell ref="D8:E8"/>
    <mergeCell ref="D5:E5"/>
    <mergeCell ref="D7:E7"/>
    <mergeCell ref="D23:E23"/>
    <mergeCell ref="A19:C19"/>
    <mergeCell ref="M6:M7"/>
    <mergeCell ref="A14:C14"/>
    <mergeCell ref="D14:E14"/>
    <mergeCell ref="K6:K7"/>
    <mergeCell ref="G6:G7"/>
    <mergeCell ref="H6:H7"/>
    <mergeCell ref="I6:I7"/>
    <mergeCell ref="J6:J7"/>
    <mergeCell ref="L6:L7"/>
    <mergeCell ref="D10:E10"/>
    <mergeCell ref="A10:C10"/>
    <mergeCell ref="A7:C7"/>
    <mergeCell ref="A9:C9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547A-0333-4248-8F11-1963E09B72BB}">
  <dimension ref="A2:I29"/>
  <sheetViews>
    <sheetView zoomScale="90" zoomScaleNormal="90" workbookViewId="0">
      <selection activeCell="L33" sqref="L33"/>
    </sheetView>
  </sheetViews>
  <sheetFormatPr defaultRowHeight="15" x14ac:dyDescent="0.25"/>
  <cols>
    <col min="5" max="5" width="14.5703125" customWidth="1"/>
    <col min="7" max="7" width="6.28515625" customWidth="1"/>
    <col min="8" max="8" width="9.85546875" customWidth="1"/>
  </cols>
  <sheetData>
    <row r="2" spans="1:8" ht="19.5" x14ac:dyDescent="0.3">
      <c r="A2" s="75" t="s">
        <v>53</v>
      </c>
      <c r="B2" s="75"/>
      <c r="C2" s="75"/>
      <c r="D2" s="75"/>
      <c r="E2" s="75"/>
      <c r="F2" s="75"/>
      <c r="G2" s="75"/>
      <c r="H2" s="75"/>
    </row>
    <row r="3" spans="1:8" x14ac:dyDescent="0.25">
      <c r="A3" s="90" t="s">
        <v>3</v>
      </c>
      <c r="B3" s="90"/>
      <c r="C3" s="90"/>
      <c r="D3" s="90" t="s">
        <v>54</v>
      </c>
      <c r="E3" s="90"/>
      <c r="F3" s="90" t="s">
        <v>55</v>
      </c>
      <c r="G3" s="90"/>
      <c r="H3" s="1" t="s">
        <v>4</v>
      </c>
    </row>
    <row r="4" spans="1:8" x14ac:dyDescent="0.25">
      <c r="A4" s="90" t="s">
        <v>15</v>
      </c>
      <c r="B4" s="90"/>
      <c r="C4" s="90"/>
      <c r="D4" s="91">
        <v>46024</v>
      </c>
      <c r="E4" s="91"/>
      <c r="F4" s="91">
        <v>46024</v>
      </c>
      <c r="G4" s="91"/>
      <c r="H4" s="3">
        <v>1</v>
      </c>
    </row>
    <row r="5" spans="1:8" x14ac:dyDescent="0.25">
      <c r="A5" s="90" t="s">
        <v>16</v>
      </c>
      <c r="B5" s="90"/>
      <c r="C5" s="90"/>
      <c r="D5" s="91">
        <v>46024</v>
      </c>
      <c r="E5" s="91"/>
      <c r="F5" s="91">
        <v>46024</v>
      </c>
      <c r="G5" s="91"/>
      <c r="H5" s="3">
        <v>1</v>
      </c>
    </row>
    <row r="6" spans="1:8" x14ac:dyDescent="0.25">
      <c r="A6" s="90" t="s">
        <v>33</v>
      </c>
      <c r="B6" s="90"/>
      <c r="C6" s="90"/>
      <c r="D6" s="91">
        <v>46024</v>
      </c>
      <c r="E6" s="91"/>
      <c r="F6" s="91">
        <v>46024</v>
      </c>
      <c r="G6" s="91"/>
      <c r="H6" s="3">
        <v>1</v>
      </c>
    </row>
    <row r="7" spans="1:8" x14ac:dyDescent="0.25">
      <c r="A7" s="90" t="s">
        <v>17</v>
      </c>
      <c r="B7" s="90"/>
      <c r="C7" s="90"/>
      <c r="D7" s="91">
        <v>46027</v>
      </c>
      <c r="E7" s="91"/>
      <c r="F7" s="91">
        <v>46027</v>
      </c>
      <c r="G7" s="91"/>
      <c r="H7" s="3">
        <v>1</v>
      </c>
    </row>
    <row r="8" spans="1:8" x14ac:dyDescent="0.25">
      <c r="A8" s="90" t="s">
        <v>18</v>
      </c>
      <c r="B8" s="90"/>
      <c r="C8" s="90"/>
      <c r="D8" s="91">
        <v>46029</v>
      </c>
      <c r="E8" s="91"/>
      <c r="F8" s="91">
        <v>46029</v>
      </c>
      <c r="G8" s="91"/>
      <c r="H8" s="3">
        <v>1</v>
      </c>
    </row>
    <row r="9" spans="1:8" x14ac:dyDescent="0.25">
      <c r="A9" s="90" t="s">
        <v>19</v>
      </c>
      <c r="B9" s="90"/>
      <c r="C9" s="90"/>
      <c r="D9" s="91">
        <v>46029</v>
      </c>
      <c r="E9" s="91"/>
      <c r="F9" s="91">
        <v>46029</v>
      </c>
      <c r="G9" s="91"/>
      <c r="H9" s="3">
        <v>1</v>
      </c>
    </row>
    <row r="10" spans="1:8" x14ac:dyDescent="0.25">
      <c r="A10" s="90" t="s">
        <v>20</v>
      </c>
      <c r="B10" s="90"/>
      <c r="C10" s="90"/>
      <c r="D10" s="91">
        <v>46030</v>
      </c>
      <c r="E10" s="91"/>
      <c r="F10" s="91">
        <v>46031</v>
      </c>
      <c r="G10" s="90"/>
      <c r="H10" s="3">
        <v>2</v>
      </c>
    </row>
    <row r="11" spans="1:8" x14ac:dyDescent="0.25">
      <c r="A11" s="90" t="s">
        <v>21</v>
      </c>
      <c r="B11" s="90"/>
      <c r="C11" s="90"/>
      <c r="D11" s="91">
        <v>46030</v>
      </c>
      <c r="E11" s="91"/>
      <c r="F11" s="91">
        <v>46030</v>
      </c>
      <c r="G11" s="90"/>
      <c r="H11" s="3">
        <v>1</v>
      </c>
    </row>
    <row r="12" spans="1:8" x14ac:dyDescent="0.25">
      <c r="A12" s="90" t="s">
        <v>22</v>
      </c>
      <c r="B12" s="90"/>
      <c r="C12" s="90"/>
      <c r="D12" s="91">
        <v>46031</v>
      </c>
      <c r="E12" s="91"/>
      <c r="F12" s="91">
        <v>46031</v>
      </c>
      <c r="G12" s="90"/>
      <c r="H12" s="3">
        <v>1</v>
      </c>
    </row>
    <row r="13" spans="1:8" x14ac:dyDescent="0.25">
      <c r="A13" s="90" t="s">
        <v>5</v>
      </c>
      <c r="B13" s="90"/>
      <c r="C13" s="90"/>
      <c r="D13" s="91">
        <v>46034</v>
      </c>
      <c r="E13" s="91"/>
      <c r="F13" s="90" t="s">
        <v>23</v>
      </c>
      <c r="G13" s="90"/>
      <c r="H13" s="3">
        <v>2</v>
      </c>
    </row>
    <row r="14" spans="1:8" x14ac:dyDescent="0.25">
      <c r="A14" s="90" t="s">
        <v>24</v>
      </c>
      <c r="B14" s="90"/>
      <c r="C14" s="90"/>
      <c r="D14" s="91" t="s">
        <v>23</v>
      </c>
      <c r="E14" s="91"/>
      <c r="F14" s="92" t="s">
        <v>23</v>
      </c>
      <c r="G14" s="90"/>
      <c r="H14" s="3">
        <v>1</v>
      </c>
    </row>
    <row r="15" spans="1:8" x14ac:dyDescent="0.25">
      <c r="A15" s="90" t="s">
        <v>25</v>
      </c>
      <c r="B15" s="90"/>
      <c r="C15" s="90"/>
      <c r="D15" s="91" t="s">
        <v>23</v>
      </c>
      <c r="E15" s="91"/>
      <c r="F15" s="90" t="s">
        <v>26</v>
      </c>
      <c r="G15" s="90"/>
      <c r="H15" s="3">
        <v>2</v>
      </c>
    </row>
    <row r="16" spans="1:8" x14ac:dyDescent="0.25">
      <c r="A16" s="90" t="s">
        <v>1</v>
      </c>
      <c r="B16" s="90"/>
      <c r="C16" s="90"/>
      <c r="D16" s="91" t="s">
        <v>27</v>
      </c>
      <c r="E16" s="91"/>
      <c r="F16" s="90" t="s">
        <v>28</v>
      </c>
      <c r="G16" s="90"/>
      <c r="H16" s="3">
        <v>2</v>
      </c>
    </row>
    <row r="17" spans="1:9" x14ac:dyDescent="0.25">
      <c r="A17" s="90" t="s">
        <v>0</v>
      </c>
      <c r="B17" s="90"/>
      <c r="C17" s="90"/>
      <c r="D17" s="91" t="s">
        <v>29</v>
      </c>
      <c r="E17" s="91"/>
      <c r="F17" s="90" t="s">
        <v>29</v>
      </c>
      <c r="G17" s="90"/>
      <c r="H17" s="3">
        <v>1</v>
      </c>
    </row>
    <row r="18" spans="1:9" x14ac:dyDescent="0.25">
      <c r="A18" s="90" t="s">
        <v>22</v>
      </c>
      <c r="B18" s="90"/>
      <c r="C18" s="90"/>
      <c r="D18" s="91" t="s">
        <v>29</v>
      </c>
      <c r="E18" s="91"/>
      <c r="F18" s="90" t="s">
        <v>29</v>
      </c>
      <c r="G18" s="90"/>
      <c r="H18" s="3">
        <v>1</v>
      </c>
    </row>
    <row r="19" spans="1:9" x14ac:dyDescent="0.25">
      <c r="A19" s="90" t="s">
        <v>30</v>
      </c>
      <c r="B19" s="90"/>
      <c r="C19" s="90"/>
      <c r="D19" s="91" t="s">
        <v>31</v>
      </c>
      <c r="E19" s="91"/>
      <c r="F19" s="90" t="s">
        <v>31</v>
      </c>
      <c r="G19" s="90"/>
      <c r="H19" s="3">
        <v>1</v>
      </c>
    </row>
    <row r="20" spans="1:9" x14ac:dyDescent="0.25">
      <c r="A20" s="90" t="s">
        <v>32</v>
      </c>
      <c r="B20" s="90"/>
      <c r="C20" s="90"/>
      <c r="D20" s="91" t="s">
        <v>26</v>
      </c>
      <c r="E20" s="91"/>
      <c r="F20" s="90" t="s">
        <v>26</v>
      </c>
      <c r="G20" s="90"/>
      <c r="H20" s="3">
        <v>1</v>
      </c>
    </row>
    <row r="21" spans="1:9" x14ac:dyDescent="0.25">
      <c r="A21" s="90" t="s">
        <v>33</v>
      </c>
      <c r="B21" s="90"/>
      <c r="C21" s="90"/>
      <c r="D21" s="91" t="s">
        <v>31</v>
      </c>
      <c r="E21" s="91"/>
      <c r="F21" s="90" t="s">
        <v>31</v>
      </c>
      <c r="G21" s="90"/>
      <c r="H21" s="3">
        <v>1</v>
      </c>
    </row>
    <row r="22" spans="1:9" x14ac:dyDescent="0.25">
      <c r="A22" s="90" t="s">
        <v>42</v>
      </c>
      <c r="B22" s="90"/>
      <c r="C22" s="90"/>
      <c r="D22" s="91" t="s">
        <v>41</v>
      </c>
      <c r="E22" s="91"/>
      <c r="F22" s="91" t="s">
        <v>41</v>
      </c>
      <c r="G22" s="91"/>
      <c r="H22" s="3">
        <v>1</v>
      </c>
    </row>
    <row r="23" spans="1:9" x14ac:dyDescent="0.25">
      <c r="A23" s="90" t="s">
        <v>17</v>
      </c>
      <c r="B23" s="90"/>
      <c r="C23" s="90"/>
      <c r="D23" s="91" t="s">
        <v>46</v>
      </c>
      <c r="E23" s="91"/>
      <c r="F23" s="91" t="s">
        <v>46</v>
      </c>
      <c r="G23" s="91"/>
      <c r="H23" s="3">
        <v>1</v>
      </c>
    </row>
    <row r="24" spans="1:9" x14ac:dyDescent="0.25">
      <c r="A24" s="90" t="s">
        <v>43</v>
      </c>
      <c r="B24" s="90"/>
      <c r="C24" s="90"/>
      <c r="D24" s="90" t="s">
        <v>44</v>
      </c>
      <c r="E24" s="90"/>
      <c r="F24" s="90" t="s">
        <v>44</v>
      </c>
      <c r="G24" s="90"/>
      <c r="H24" s="3">
        <v>1</v>
      </c>
      <c r="I24" t="s">
        <v>88</v>
      </c>
    </row>
    <row r="25" spans="1:9" x14ac:dyDescent="0.25">
      <c r="A25" s="90" t="s">
        <v>32</v>
      </c>
      <c r="B25" s="90"/>
      <c r="C25" s="90"/>
      <c r="D25" s="90" t="s">
        <v>12</v>
      </c>
      <c r="E25" s="90"/>
      <c r="F25" s="90" t="s">
        <v>12</v>
      </c>
      <c r="G25" s="90"/>
      <c r="H25" s="3">
        <v>1</v>
      </c>
    </row>
    <row r="26" spans="1:9" x14ac:dyDescent="0.25">
      <c r="A26" s="90" t="s">
        <v>47</v>
      </c>
      <c r="B26" s="90"/>
      <c r="C26" s="90"/>
      <c r="D26" s="90" t="s">
        <v>14</v>
      </c>
      <c r="E26" s="90"/>
      <c r="F26" s="90" t="s">
        <v>14</v>
      </c>
      <c r="G26" s="90"/>
      <c r="H26" s="3">
        <v>1</v>
      </c>
    </row>
    <row r="27" spans="1:9" x14ac:dyDescent="0.25">
      <c r="A27" s="90" t="s">
        <v>47</v>
      </c>
      <c r="B27" s="90"/>
      <c r="C27" s="90"/>
      <c r="D27" s="90" t="s">
        <v>44</v>
      </c>
      <c r="E27" s="90"/>
      <c r="F27" s="90" t="s">
        <v>44</v>
      </c>
      <c r="G27" s="90"/>
      <c r="H27" s="3">
        <v>1</v>
      </c>
    </row>
    <row r="28" spans="1:9" x14ac:dyDescent="0.25">
      <c r="A28" s="90" t="s">
        <v>33</v>
      </c>
      <c r="B28" s="90"/>
      <c r="C28" s="90"/>
      <c r="D28" s="90" t="s">
        <v>48</v>
      </c>
      <c r="E28" s="90"/>
      <c r="F28" s="90" t="s">
        <v>48</v>
      </c>
      <c r="G28" s="90"/>
      <c r="H28" s="3">
        <v>1</v>
      </c>
    </row>
    <row r="29" spans="1:9" x14ac:dyDescent="0.25">
      <c r="A29" s="90" t="s">
        <v>2</v>
      </c>
      <c r="B29" s="90"/>
      <c r="C29" s="90"/>
      <c r="D29" s="90" t="s">
        <v>49</v>
      </c>
      <c r="E29" s="90"/>
      <c r="F29" s="90" t="s">
        <v>36</v>
      </c>
      <c r="G29" s="90"/>
      <c r="H29" s="3">
        <v>3</v>
      </c>
    </row>
  </sheetData>
  <mergeCells count="82">
    <mergeCell ref="F23:G23"/>
    <mergeCell ref="A24:C24"/>
    <mergeCell ref="D24:E24"/>
    <mergeCell ref="F24:G24"/>
    <mergeCell ref="A11:C11"/>
    <mergeCell ref="A12:C12"/>
    <mergeCell ref="A13:C13"/>
    <mergeCell ref="A14:C14"/>
    <mergeCell ref="A15:C15"/>
    <mergeCell ref="A19:C19"/>
    <mergeCell ref="A18:C18"/>
    <mergeCell ref="A17:C17"/>
    <mergeCell ref="D13:E13"/>
    <mergeCell ref="D12:E12"/>
    <mergeCell ref="A16:C16"/>
    <mergeCell ref="D15:E15"/>
    <mergeCell ref="F3:G3"/>
    <mergeCell ref="A4:C4"/>
    <mergeCell ref="A5:C5"/>
    <mergeCell ref="D5:E5"/>
    <mergeCell ref="D4:E4"/>
    <mergeCell ref="F4:G4"/>
    <mergeCell ref="F5:G5"/>
    <mergeCell ref="D18:E18"/>
    <mergeCell ref="D19:E19"/>
    <mergeCell ref="D16:E16"/>
    <mergeCell ref="D17:E17"/>
    <mergeCell ref="A3:C3"/>
    <mergeCell ref="D3:E3"/>
    <mergeCell ref="A7:C7"/>
    <mergeCell ref="A8:C8"/>
    <mergeCell ref="A9:C9"/>
    <mergeCell ref="A10:C10"/>
    <mergeCell ref="D9:E9"/>
    <mergeCell ref="D14:E14"/>
    <mergeCell ref="D11:E11"/>
    <mergeCell ref="D8:E8"/>
    <mergeCell ref="D7:E7"/>
    <mergeCell ref="D10:E10"/>
    <mergeCell ref="A23:C23"/>
    <mergeCell ref="D20:E20"/>
    <mergeCell ref="D21:E21"/>
    <mergeCell ref="D22:E22"/>
    <mergeCell ref="D23:E23"/>
    <mergeCell ref="A22:C22"/>
    <mergeCell ref="A21:C21"/>
    <mergeCell ref="A20:C20"/>
    <mergeCell ref="F15:G15"/>
    <mergeCell ref="F16:G16"/>
    <mergeCell ref="F17:G17"/>
    <mergeCell ref="F18:G18"/>
    <mergeCell ref="F19:G19"/>
    <mergeCell ref="A29:C29"/>
    <mergeCell ref="D29:E29"/>
    <mergeCell ref="F29:G29"/>
    <mergeCell ref="D27:E27"/>
    <mergeCell ref="D28:E28"/>
    <mergeCell ref="F27:G27"/>
    <mergeCell ref="F28:G28"/>
    <mergeCell ref="A28:C28"/>
    <mergeCell ref="F26:G26"/>
    <mergeCell ref="A25:C25"/>
    <mergeCell ref="D25:E25"/>
    <mergeCell ref="F25:G25"/>
    <mergeCell ref="A26:C26"/>
    <mergeCell ref="D26:E26"/>
    <mergeCell ref="A2:H2"/>
    <mergeCell ref="A6:C6"/>
    <mergeCell ref="D6:E6"/>
    <mergeCell ref="F6:G6"/>
    <mergeCell ref="A27:C27"/>
    <mergeCell ref="F22:G22"/>
    <mergeCell ref="F11:G11"/>
    <mergeCell ref="F12:G12"/>
    <mergeCell ref="F13:G13"/>
    <mergeCell ref="F14:G14"/>
    <mergeCell ref="F20:G20"/>
    <mergeCell ref="F21:G21"/>
    <mergeCell ref="F7:G7"/>
    <mergeCell ref="F8:G8"/>
    <mergeCell ref="F9:G9"/>
    <mergeCell ref="F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3524-DB5A-43DD-92A8-B6C9C05F40AC}">
  <dimension ref="A1:H29"/>
  <sheetViews>
    <sheetView zoomScale="90" zoomScaleNormal="90" workbookViewId="0">
      <selection activeCell="H4" sqref="H4"/>
    </sheetView>
  </sheetViews>
  <sheetFormatPr defaultRowHeight="15" x14ac:dyDescent="0.25"/>
  <cols>
    <col min="5" max="5" width="14.5703125" customWidth="1"/>
    <col min="7" max="7" width="6.28515625" customWidth="1"/>
    <col min="8" max="8" width="9.85546875" customWidth="1"/>
  </cols>
  <sheetData>
    <row r="1" spans="1:8" s="4" customFormat="1" ht="19.5" x14ac:dyDescent="0.3"/>
    <row r="2" spans="1:8" s="4" customFormat="1" ht="19.5" x14ac:dyDescent="0.3">
      <c r="A2" s="75" t="s">
        <v>50</v>
      </c>
      <c r="B2" s="75"/>
      <c r="C2" s="75"/>
      <c r="D2" s="75"/>
      <c r="E2" s="75"/>
      <c r="F2" s="75"/>
      <c r="G2" s="75"/>
      <c r="H2" s="75"/>
    </row>
    <row r="3" spans="1:8" x14ac:dyDescent="0.25">
      <c r="A3" s="90" t="s">
        <v>3</v>
      </c>
      <c r="B3" s="90"/>
      <c r="C3" s="90"/>
      <c r="D3" s="90" t="s">
        <v>54</v>
      </c>
      <c r="E3" s="90"/>
      <c r="F3" s="90" t="s">
        <v>55</v>
      </c>
      <c r="G3" s="90"/>
      <c r="H3" s="1" t="s">
        <v>4</v>
      </c>
    </row>
    <row r="4" spans="1:8" x14ac:dyDescent="0.25">
      <c r="A4" s="90" t="s">
        <v>65</v>
      </c>
      <c r="B4" s="90"/>
      <c r="C4" s="90"/>
      <c r="D4" s="91">
        <v>46055</v>
      </c>
      <c r="E4" s="91"/>
      <c r="F4" s="91"/>
      <c r="G4" s="90"/>
      <c r="H4" s="3">
        <v>1</v>
      </c>
    </row>
    <row r="5" spans="1:8" x14ac:dyDescent="0.25">
      <c r="A5" s="90" t="s">
        <v>66</v>
      </c>
      <c r="B5" s="90"/>
      <c r="C5" s="90"/>
      <c r="D5" s="91">
        <v>46055</v>
      </c>
      <c r="E5" s="91"/>
      <c r="F5" s="91"/>
      <c r="G5" s="90"/>
      <c r="H5" s="3"/>
    </row>
    <row r="6" spans="1:8" x14ac:dyDescent="0.25">
      <c r="A6" s="90" t="s">
        <v>67</v>
      </c>
      <c r="B6" s="90"/>
      <c r="C6" s="90"/>
      <c r="D6" s="91">
        <v>46055</v>
      </c>
      <c r="E6" s="91"/>
      <c r="F6" s="91">
        <v>46056</v>
      </c>
      <c r="G6" s="90"/>
      <c r="H6" s="3">
        <v>2</v>
      </c>
    </row>
    <row r="7" spans="1:8" x14ac:dyDescent="0.25">
      <c r="A7" s="90" t="s">
        <v>66</v>
      </c>
      <c r="B7" s="90"/>
      <c r="C7" s="90"/>
      <c r="D7" s="91">
        <v>46057</v>
      </c>
      <c r="E7" s="91"/>
      <c r="F7" s="91">
        <v>46058</v>
      </c>
      <c r="G7" s="90"/>
      <c r="H7" s="3">
        <v>2</v>
      </c>
    </row>
    <row r="8" spans="1:8" x14ac:dyDescent="0.25">
      <c r="A8" s="90" t="s">
        <v>68</v>
      </c>
      <c r="B8" s="90"/>
      <c r="C8" s="90"/>
      <c r="D8" s="91">
        <v>46057</v>
      </c>
      <c r="E8" s="91"/>
      <c r="F8" s="91">
        <v>46057</v>
      </c>
      <c r="G8" s="90"/>
      <c r="H8" s="3">
        <v>1</v>
      </c>
    </row>
    <row r="9" spans="1:8" x14ac:dyDescent="0.25">
      <c r="A9" s="90" t="s">
        <v>69</v>
      </c>
      <c r="B9" s="90"/>
      <c r="C9" s="90"/>
      <c r="D9" s="91">
        <v>46059</v>
      </c>
      <c r="E9" s="91"/>
      <c r="F9" s="91"/>
      <c r="G9" s="90"/>
      <c r="H9" s="3">
        <v>1</v>
      </c>
    </row>
    <row r="10" spans="1:8" x14ac:dyDescent="0.25">
      <c r="A10" s="90" t="s">
        <v>73</v>
      </c>
      <c r="B10" s="90"/>
      <c r="C10" s="90"/>
      <c r="D10" s="93">
        <v>46062</v>
      </c>
      <c r="E10" s="94"/>
      <c r="F10" s="91"/>
      <c r="G10" s="90"/>
      <c r="H10" s="3">
        <v>1</v>
      </c>
    </row>
    <row r="11" spans="1:8" x14ac:dyDescent="0.25">
      <c r="A11" s="90" t="s">
        <v>74</v>
      </c>
      <c r="B11" s="90"/>
      <c r="C11" s="90"/>
      <c r="D11" s="93">
        <v>46062</v>
      </c>
      <c r="E11" s="94"/>
      <c r="F11" s="91">
        <v>46063</v>
      </c>
      <c r="G11" s="90"/>
      <c r="H11" s="3">
        <v>2</v>
      </c>
    </row>
    <row r="12" spans="1:8" x14ac:dyDescent="0.25">
      <c r="A12" s="90" t="s">
        <v>79</v>
      </c>
      <c r="B12" s="90"/>
      <c r="C12" s="90"/>
      <c r="D12" s="91">
        <v>46067</v>
      </c>
      <c r="E12" s="91"/>
      <c r="F12" s="91"/>
      <c r="G12" s="90"/>
      <c r="H12" s="3">
        <v>1</v>
      </c>
    </row>
    <row r="13" spans="1:8" x14ac:dyDescent="0.25">
      <c r="A13" s="90" t="s">
        <v>68</v>
      </c>
      <c r="B13" s="90"/>
      <c r="C13" s="90"/>
      <c r="D13" s="91">
        <v>46072</v>
      </c>
      <c r="E13" s="91"/>
      <c r="F13" s="91">
        <v>46073</v>
      </c>
      <c r="G13" s="90"/>
      <c r="H13" s="3">
        <v>2</v>
      </c>
    </row>
    <row r="14" spans="1:8" x14ac:dyDescent="0.25">
      <c r="A14" s="90" t="s">
        <v>80</v>
      </c>
      <c r="B14" s="90"/>
      <c r="C14" s="90"/>
      <c r="D14" s="91">
        <v>46074</v>
      </c>
      <c r="E14" s="91"/>
      <c r="F14" s="92"/>
      <c r="G14" s="90"/>
      <c r="H14" s="3">
        <v>1</v>
      </c>
    </row>
    <row r="15" spans="1:8" x14ac:dyDescent="0.25">
      <c r="A15" s="90" t="s">
        <v>79</v>
      </c>
      <c r="B15" s="90"/>
      <c r="C15" s="90"/>
      <c r="D15" s="91">
        <v>46076</v>
      </c>
      <c r="E15" s="91"/>
      <c r="F15" s="90"/>
      <c r="G15" s="90"/>
      <c r="H15" s="3">
        <v>1</v>
      </c>
    </row>
    <row r="16" spans="1:8" x14ac:dyDescent="0.25">
      <c r="A16" s="90" t="s">
        <v>74</v>
      </c>
      <c r="B16" s="90"/>
      <c r="C16" s="90"/>
      <c r="D16" s="91">
        <v>46079</v>
      </c>
      <c r="E16" s="91"/>
      <c r="F16" s="90"/>
      <c r="G16" s="90"/>
      <c r="H16" s="3">
        <v>1</v>
      </c>
    </row>
    <row r="17" spans="1:8" x14ac:dyDescent="0.25">
      <c r="A17" s="90" t="s">
        <v>82</v>
      </c>
      <c r="B17" s="90"/>
      <c r="C17" s="90"/>
      <c r="D17" s="91">
        <v>46080</v>
      </c>
      <c r="E17" s="91"/>
      <c r="F17" s="90"/>
      <c r="G17" s="90"/>
      <c r="H17" s="3">
        <v>1</v>
      </c>
    </row>
    <row r="18" spans="1:8" x14ac:dyDescent="0.25">
      <c r="A18" s="90" t="s">
        <v>83</v>
      </c>
      <c r="B18" s="90"/>
      <c r="C18" s="90"/>
      <c r="D18" s="91">
        <v>46081</v>
      </c>
      <c r="E18" s="91"/>
      <c r="F18" s="91">
        <v>46084</v>
      </c>
      <c r="G18" s="90"/>
      <c r="H18" s="3">
        <v>2.5</v>
      </c>
    </row>
    <row r="19" spans="1:8" x14ac:dyDescent="0.25">
      <c r="A19" s="90"/>
      <c r="B19" s="90"/>
      <c r="C19" s="90"/>
      <c r="D19" s="91"/>
      <c r="E19" s="91"/>
      <c r="F19" s="90"/>
      <c r="G19" s="90"/>
      <c r="H19" s="3"/>
    </row>
    <row r="20" spans="1:8" x14ac:dyDescent="0.25">
      <c r="A20" s="90"/>
      <c r="B20" s="90"/>
      <c r="C20" s="90"/>
      <c r="D20" s="91"/>
      <c r="E20" s="91"/>
      <c r="F20" s="90"/>
      <c r="G20" s="90"/>
      <c r="H20" s="3"/>
    </row>
    <row r="21" spans="1:8" x14ac:dyDescent="0.25">
      <c r="A21" s="90"/>
      <c r="B21" s="90"/>
      <c r="C21" s="90"/>
      <c r="D21" s="91"/>
      <c r="E21" s="91"/>
      <c r="F21" s="90"/>
      <c r="G21" s="90"/>
      <c r="H21" s="3"/>
    </row>
    <row r="22" spans="1:8" x14ac:dyDescent="0.25">
      <c r="A22" s="90"/>
      <c r="B22" s="90"/>
      <c r="C22" s="90"/>
      <c r="D22" s="91"/>
      <c r="E22" s="91"/>
      <c r="F22" s="91"/>
      <c r="G22" s="91"/>
      <c r="H22" s="3"/>
    </row>
    <row r="23" spans="1:8" x14ac:dyDescent="0.25">
      <c r="A23" s="90"/>
      <c r="B23" s="90"/>
      <c r="C23" s="90"/>
      <c r="D23" s="91"/>
      <c r="E23" s="91"/>
      <c r="F23" s="91"/>
      <c r="G23" s="91"/>
      <c r="H23" s="3"/>
    </row>
    <row r="24" spans="1:8" x14ac:dyDescent="0.25">
      <c r="A24" s="90"/>
      <c r="B24" s="90"/>
      <c r="C24" s="90"/>
      <c r="D24" s="90"/>
      <c r="E24" s="90"/>
      <c r="F24" s="90"/>
      <c r="G24" s="90"/>
      <c r="H24" s="3"/>
    </row>
    <row r="25" spans="1:8" x14ac:dyDescent="0.25">
      <c r="A25" s="90"/>
      <c r="B25" s="90"/>
      <c r="C25" s="90"/>
      <c r="D25" s="90"/>
      <c r="E25" s="90"/>
      <c r="F25" s="90"/>
      <c r="G25" s="90"/>
      <c r="H25" s="3"/>
    </row>
    <row r="26" spans="1:8" x14ac:dyDescent="0.25">
      <c r="A26" s="90"/>
      <c r="B26" s="90"/>
      <c r="C26" s="90"/>
      <c r="D26" s="90"/>
      <c r="E26" s="90"/>
      <c r="F26" s="90"/>
      <c r="G26" s="90"/>
      <c r="H26" s="3"/>
    </row>
    <row r="27" spans="1:8" x14ac:dyDescent="0.25">
      <c r="A27" s="90"/>
      <c r="B27" s="90"/>
      <c r="C27" s="90"/>
      <c r="D27" s="90"/>
      <c r="E27" s="90"/>
      <c r="F27" s="90"/>
      <c r="G27" s="90"/>
      <c r="H27" s="3"/>
    </row>
    <row r="28" spans="1:8" x14ac:dyDescent="0.25">
      <c r="A28" s="90"/>
      <c r="B28" s="90"/>
      <c r="C28" s="90"/>
      <c r="D28" s="90"/>
      <c r="E28" s="90"/>
      <c r="F28" s="90"/>
      <c r="G28" s="90"/>
      <c r="H28" s="3"/>
    </row>
    <row r="29" spans="1:8" x14ac:dyDescent="0.25">
      <c r="A29" s="90"/>
      <c r="B29" s="90"/>
      <c r="C29" s="90"/>
      <c r="D29" s="90"/>
      <c r="E29" s="90"/>
      <c r="F29" s="90"/>
      <c r="G29" s="90"/>
      <c r="H29" s="3"/>
    </row>
  </sheetData>
  <mergeCells count="82"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9:C29"/>
    <mergeCell ref="D29:E29"/>
    <mergeCell ref="F29:G29"/>
    <mergeCell ref="A2:H2"/>
    <mergeCell ref="A27:C27"/>
    <mergeCell ref="D27:E27"/>
    <mergeCell ref="F27:G27"/>
    <mergeCell ref="A28:C28"/>
    <mergeCell ref="D28:E28"/>
    <mergeCell ref="F28:G28"/>
    <mergeCell ref="A25:C25"/>
    <mergeCell ref="D25:E25"/>
    <mergeCell ref="F25:G25"/>
    <mergeCell ref="A26:C26"/>
    <mergeCell ref="D26:E26"/>
    <mergeCell ref="F26:G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2612-2335-4E01-A588-3E974E34B9E8}">
  <dimension ref="A1:I26"/>
  <sheetViews>
    <sheetView workbookViewId="0">
      <selection activeCell="I12" sqref="I12"/>
    </sheetView>
  </sheetViews>
  <sheetFormatPr defaultRowHeight="15" x14ac:dyDescent="0.25"/>
  <cols>
    <col min="3" max="3" width="21.7109375" customWidth="1"/>
    <col min="5" max="5" width="19.140625" customWidth="1"/>
    <col min="6" max="6" width="16.85546875" customWidth="1"/>
    <col min="8" max="8" width="13.42578125" customWidth="1"/>
  </cols>
  <sheetData>
    <row r="1" spans="1:9" s="4" customFormat="1" ht="19.5" x14ac:dyDescent="0.3"/>
    <row r="2" spans="1:9" s="4" customFormat="1" ht="19.5" x14ac:dyDescent="0.3">
      <c r="A2" s="75" t="s">
        <v>51</v>
      </c>
      <c r="B2" s="75"/>
      <c r="C2" s="75"/>
      <c r="D2" s="75"/>
      <c r="E2" s="75"/>
      <c r="F2" s="75"/>
      <c r="G2" s="75"/>
      <c r="H2" s="9"/>
    </row>
    <row r="3" spans="1:9" x14ac:dyDescent="0.25">
      <c r="A3" s="90" t="s">
        <v>3</v>
      </c>
      <c r="B3" s="90"/>
      <c r="C3" s="90"/>
      <c r="D3" s="90" t="s">
        <v>54</v>
      </c>
      <c r="E3" s="90"/>
      <c r="F3" s="3" t="s">
        <v>55</v>
      </c>
      <c r="G3" s="1" t="s">
        <v>4</v>
      </c>
      <c r="H3" s="20" t="s">
        <v>89</v>
      </c>
    </row>
    <row r="4" spans="1:9" ht="14.45" customHeight="1" x14ac:dyDescent="0.25">
      <c r="A4" s="105" t="s">
        <v>68</v>
      </c>
      <c r="B4" s="105"/>
      <c r="C4" s="105"/>
      <c r="D4" s="106" t="s">
        <v>6</v>
      </c>
      <c r="E4" s="106"/>
      <c r="F4" s="15">
        <v>46069</v>
      </c>
      <c r="G4" s="16">
        <v>1.5</v>
      </c>
      <c r="H4" s="17"/>
    </row>
    <row r="5" spans="1:9" x14ac:dyDescent="0.25">
      <c r="A5" s="98" t="s">
        <v>75</v>
      </c>
      <c r="B5" s="98"/>
      <c r="C5" s="98"/>
      <c r="D5" s="99">
        <v>46069</v>
      </c>
      <c r="E5" s="99"/>
      <c r="F5" s="15">
        <v>46094</v>
      </c>
      <c r="G5" s="16">
        <v>19.5</v>
      </c>
      <c r="H5" s="17"/>
      <c r="I5" t="s">
        <v>70</v>
      </c>
    </row>
    <row r="6" spans="1:9" x14ac:dyDescent="0.25">
      <c r="A6" s="98" t="s">
        <v>76</v>
      </c>
      <c r="B6" s="98"/>
      <c r="C6" s="98"/>
      <c r="D6" s="99">
        <v>46061</v>
      </c>
      <c r="E6" s="99"/>
      <c r="F6" s="15">
        <v>46075</v>
      </c>
      <c r="G6" s="16">
        <v>9</v>
      </c>
      <c r="H6" s="17"/>
      <c r="I6" t="s">
        <v>71</v>
      </c>
    </row>
    <row r="7" spans="1:9" s="17" customFormat="1" x14ac:dyDescent="0.25">
      <c r="A7" s="95" t="s">
        <v>77</v>
      </c>
      <c r="B7" s="96"/>
      <c r="C7" s="97"/>
      <c r="D7" s="93">
        <v>46065</v>
      </c>
      <c r="E7" s="94"/>
      <c r="F7" s="15">
        <v>46077</v>
      </c>
      <c r="G7" s="16">
        <v>8</v>
      </c>
      <c r="I7" s="17" t="s">
        <v>72</v>
      </c>
    </row>
    <row r="8" spans="1:9" s="17" customFormat="1" x14ac:dyDescent="0.25">
      <c r="A8" s="84" t="s">
        <v>73</v>
      </c>
      <c r="B8" s="84"/>
      <c r="C8" s="84"/>
      <c r="D8" s="93">
        <v>46069</v>
      </c>
      <c r="E8" s="94"/>
      <c r="F8" s="15"/>
      <c r="G8" s="16">
        <v>1</v>
      </c>
    </row>
    <row r="9" spans="1:9" s="17" customFormat="1" x14ac:dyDescent="0.25">
      <c r="A9" s="95" t="s">
        <v>78</v>
      </c>
      <c r="B9" s="96"/>
      <c r="C9" s="97"/>
      <c r="D9" s="93">
        <v>46066</v>
      </c>
      <c r="E9" s="94"/>
      <c r="F9" s="15">
        <v>46069</v>
      </c>
      <c r="G9" s="16">
        <v>2</v>
      </c>
      <c r="I9" s="17" t="s">
        <v>85</v>
      </c>
    </row>
    <row r="10" spans="1:9" s="17" customFormat="1" x14ac:dyDescent="0.25">
      <c r="A10" s="100" t="s">
        <v>81</v>
      </c>
      <c r="B10" s="101"/>
      <c r="C10" s="102"/>
      <c r="D10" s="103">
        <v>46056</v>
      </c>
      <c r="E10" s="104"/>
      <c r="F10" s="18">
        <v>46059</v>
      </c>
      <c r="G10" s="19">
        <v>4</v>
      </c>
      <c r="H10" s="21"/>
      <c r="I10" s="17" t="s">
        <v>85</v>
      </c>
    </row>
    <row r="11" spans="1:9" s="17" customFormat="1" x14ac:dyDescent="0.25">
      <c r="A11" s="100" t="s">
        <v>81</v>
      </c>
      <c r="B11" s="101"/>
      <c r="C11" s="102"/>
      <c r="D11" s="103">
        <v>46076</v>
      </c>
      <c r="E11" s="104"/>
      <c r="F11" s="18"/>
      <c r="G11" s="19">
        <v>1</v>
      </c>
      <c r="H11" s="21"/>
      <c r="I11" s="17" t="s">
        <v>88</v>
      </c>
    </row>
    <row r="12" spans="1:9" s="17" customFormat="1" x14ac:dyDescent="0.25">
      <c r="A12" s="95" t="s">
        <v>84</v>
      </c>
      <c r="B12" s="96"/>
      <c r="C12" s="97"/>
      <c r="D12" s="93">
        <v>46069</v>
      </c>
      <c r="E12" s="94"/>
      <c r="F12" s="15">
        <v>46069</v>
      </c>
      <c r="G12" s="16">
        <v>1</v>
      </c>
      <c r="I12" s="17" t="s">
        <v>189</v>
      </c>
    </row>
    <row r="13" spans="1:9" s="17" customFormat="1" x14ac:dyDescent="0.25">
      <c r="A13" s="84" t="s">
        <v>80</v>
      </c>
      <c r="B13" s="84"/>
      <c r="C13" s="84"/>
      <c r="D13" s="93">
        <v>46057</v>
      </c>
      <c r="E13" s="94"/>
      <c r="F13" s="15"/>
      <c r="G13" s="16">
        <v>1</v>
      </c>
      <c r="I13" s="17" t="s">
        <v>85</v>
      </c>
    </row>
    <row r="14" spans="1:9" x14ac:dyDescent="0.25">
      <c r="A14" s="95" t="s">
        <v>86</v>
      </c>
      <c r="B14" s="96"/>
      <c r="C14" s="97"/>
      <c r="D14" s="93">
        <v>46066</v>
      </c>
      <c r="E14" s="94"/>
      <c r="F14" s="15"/>
      <c r="G14" s="16">
        <v>0.5</v>
      </c>
      <c r="H14" s="17"/>
    </row>
    <row r="15" spans="1:9" x14ac:dyDescent="0.25">
      <c r="A15" s="95" t="s">
        <v>86</v>
      </c>
      <c r="B15" s="96"/>
      <c r="C15" s="97"/>
      <c r="D15" s="93">
        <v>46069</v>
      </c>
      <c r="E15" s="94"/>
      <c r="F15" s="15">
        <v>46077</v>
      </c>
      <c r="G15" s="16">
        <v>7</v>
      </c>
      <c r="H15" s="17"/>
    </row>
    <row r="16" spans="1:9" x14ac:dyDescent="0.25">
      <c r="A16" s="95" t="s">
        <v>87</v>
      </c>
      <c r="B16" s="96"/>
      <c r="C16" s="97"/>
      <c r="D16" s="93">
        <v>46055</v>
      </c>
      <c r="E16" s="94"/>
      <c r="F16" s="15">
        <v>46056</v>
      </c>
      <c r="G16" s="16">
        <v>2</v>
      </c>
      <c r="H16" s="17"/>
    </row>
    <row r="17" spans="1:8" x14ac:dyDescent="0.25">
      <c r="A17" s="95"/>
      <c r="B17" s="96"/>
      <c r="C17" s="97"/>
      <c r="D17" s="93"/>
      <c r="E17" s="94"/>
      <c r="F17" s="15"/>
      <c r="G17" s="16"/>
      <c r="H17" s="17"/>
    </row>
    <row r="18" spans="1:8" x14ac:dyDescent="0.25">
      <c r="A18" s="89"/>
      <c r="B18" s="89"/>
      <c r="C18" s="89"/>
      <c r="D18" s="87"/>
      <c r="E18" s="87"/>
    </row>
    <row r="19" spans="1:8" x14ac:dyDescent="0.25">
      <c r="A19" s="78"/>
      <c r="B19" s="78"/>
      <c r="C19" s="78"/>
      <c r="D19" s="88"/>
      <c r="E19" s="88"/>
    </row>
    <row r="20" spans="1:8" x14ac:dyDescent="0.25">
      <c r="A20" s="78"/>
      <c r="B20" s="78"/>
      <c r="C20" s="78"/>
      <c r="D20" s="88"/>
      <c r="E20" s="88"/>
    </row>
    <row r="21" spans="1:8" x14ac:dyDescent="0.25">
      <c r="A21" s="78"/>
      <c r="B21" s="78"/>
      <c r="C21" s="78"/>
      <c r="D21" s="88"/>
      <c r="E21" s="88"/>
    </row>
    <row r="22" spans="1:8" x14ac:dyDescent="0.25">
      <c r="A22" s="78"/>
      <c r="B22" s="78"/>
      <c r="C22" s="78"/>
      <c r="D22" s="88"/>
      <c r="E22" s="88"/>
    </row>
    <row r="23" spans="1:8" x14ac:dyDescent="0.25">
      <c r="A23" s="78"/>
      <c r="B23" s="78"/>
      <c r="C23" s="78"/>
      <c r="D23" s="88"/>
      <c r="E23" s="88"/>
    </row>
    <row r="24" spans="1:8" x14ac:dyDescent="0.25">
      <c r="A24" s="78"/>
      <c r="B24" s="78"/>
      <c r="C24" s="78"/>
      <c r="D24" s="88"/>
      <c r="E24" s="88"/>
    </row>
    <row r="25" spans="1:8" x14ac:dyDescent="0.25">
      <c r="A25" s="78"/>
      <c r="B25" s="78"/>
      <c r="C25" s="78"/>
      <c r="D25" s="88"/>
      <c r="E25" s="88"/>
    </row>
    <row r="26" spans="1:8" x14ac:dyDescent="0.25">
      <c r="A26" s="78"/>
      <c r="B26" s="78"/>
      <c r="C26" s="78"/>
      <c r="D26" s="88"/>
      <c r="E26" s="88"/>
    </row>
  </sheetData>
  <mergeCells count="49">
    <mergeCell ref="A5:C5"/>
    <mergeCell ref="D5:E5"/>
    <mergeCell ref="A2:G2"/>
    <mergeCell ref="A3:C3"/>
    <mergeCell ref="D3:E3"/>
    <mergeCell ref="A4:C4"/>
    <mergeCell ref="D4:E4"/>
    <mergeCell ref="A6:C6"/>
    <mergeCell ref="D6:E6"/>
    <mergeCell ref="A8:C8"/>
    <mergeCell ref="A9:C9"/>
    <mergeCell ref="A11:C11"/>
    <mergeCell ref="D8:E8"/>
    <mergeCell ref="A7:C7"/>
    <mergeCell ref="D7:E7"/>
    <mergeCell ref="D9:E9"/>
    <mergeCell ref="D11:E11"/>
    <mergeCell ref="A10:C10"/>
    <mergeCell ref="D10:E10"/>
    <mergeCell ref="A21:C21"/>
    <mergeCell ref="D21:E21"/>
    <mergeCell ref="A22:C22"/>
    <mergeCell ref="D22:E22"/>
    <mergeCell ref="A12:C12"/>
    <mergeCell ref="D12:E12"/>
    <mergeCell ref="A18:C18"/>
    <mergeCell ref="D18:E18"/>
    <mergeCell ref="A19:C19"/>
    <mergeCell ref="D19:E19"/>
    <mergeCell ref="A14:C14"/>
    <mergeCell ref="D14:E14"/>
    <mergeCell ref="D13:E13"/>
    <mergeCell ref="A13:C13"/>
    <mergeCell ref="A26:C26"/>
    <mergeCell ref="D26:E26"/>
    <mergeCell ref="A15:C15"/>
    <mergeCell ref="A16:C16"/>
    <mergeCell ref="A17:C17"/>
    <mergeCell ref="D15:E15"/>
    <mergeCell ref="D16:E16"/>
    <mergeCell ref="D17:E17"/>
    <mergeCell ref="A23:C23"/>
    <mergeCell ref="D23:E23"/>
    <mergeCell ref="A24:C24"/>
    <mergeCell ref="D24:E24"/>
    <mergeCell ref="A25:C25"/>
    <mergeCell ref="D25:E25"/>
    <mergeCell ref="A20:C20"/>
    <mergeCell ref="D20:E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4B33-CAFA-4D94-8D2F-898BB7F23E62}">
  <dimension ref="A1:H13"/>
  <sheetViews>
    <sheetView workbookViewId="0">
      <selection activeCell="A10" sqref="A10:C10"/>
    </sheetView>
  </sheetViews>
  <sheetFormatPr defaultRowHeight="15" x14ac:dyDescent="0.25"/>
  <cols>
    <col min="3" max="3" width="9.42578125" bestFit="1" customWidth="1"/>
    <col min="5" max="5" width="19.140625" customWidth="1"/>
    <col min="6" max="6" width="16.85546875" customWidth="1"/>
  </cols>
  <sheetData>
    <row r="1" spans="1:8" s="4" customFormat="1" ht="19.5" x14ac:dyDescent="0.3"/>
    <row r="2" spans="1:8" s="4" customFormat="1" ht="19.5" x14ac:dyDescent="0.3">
      <c r="A2" s="75" t="s">
        <v>160</v>
      </c>
      <c r="B2" s="75"/>
      <c r="C2" s="75"/>
      <c r="D2" s="75"/>
      <c r="E2" s="75"/>
      <c r="F2" s="75"/>
      <c r="G2" s="75"/>
    </row>
    <row r="3" spans="1:8" x14ac:dyDescent="0.25">
      <c r="A3" s="90" t="s">
        <v>3</v>
      </c>
      <c r="B3" s="90"/>
      <c r="C3" s="90"/>
      <c r="D3" s="90" t="s">
        <v>54</v>
      </c>
      <c r="E3" s="90"/>
      <c r="F3" s="3" t="s">
        <v>55</v>
      </c>
      <c r="G3" s="1" t="s">
        <v>4</v>
      </c>
    </row>
    <row r="4" spans="1:8" s="17" customFormat="1" x14ac:dyDescent="0.25">
      <c r="A4" s="107" t="s">
        <v>68</v>
      </c>
      <c r="B4" s="107"/>
      <c r="C4" s="107"/>
      <c r="D4" s="93">
        <v>46087</v>
      </c>
      <c r="E4" s="94"/>
      <c r="F4" s="15"/>
      <c r="G4" s="16">
        <v>1</v>
      </c>
    </row>
    <row r="5" spans="1:8" s="17" customFormat="1" x14ac:dyDescent="0.25">
      <c r="A5" s="107" t="s">
        <v>68</v>
      </c>
      <c r="B5" s="107"/>
      <c r="C5" s="107"/>
      <c r="D5" s="93">
        <v>46090</v>
      </c>
      <c r="E5" s="94"/>
      <c r="F5" s="15"/>
      <c r="G5" s="16">
        <v>1</v>
      </c>
    </row>
    <row r="6" spans="1:8" s="17" customFormat="1" x14ac:dyDescent="0.25">
      <c r="A6" s="108" t="s">
        <v>80</v>
      </c>
      <c r="B6" s="109"/>
      <c r="C6" s="110"/>
      <c r="D6" s="93">
        <v>46101</v>
      </c>
      <c r="E6" s="94"/>
      <c r="F6" s="15">
        <v>46106</v>
      </c>
      <c r="G6" s="16">
        <v>4</v>
      </c>
      <c r="H6" s="17" t="s">
        <v>159</v>
      </c>
    </row>
    <row r="7" spans="1:8" s="17" customFormat="1" x14ac:dyDescent="0.25">
      <c r="A7" s="95" t="s">
        <v>69</v>
      </c>
      <c r="B7" s="96"/>
      <c r="C7" s="97"/>
      <c r="D7" s="93">
        <v>46089</v>
      </c>
      <c r="E7" s="94"/>
      <c r="F7" s="15">
        <v>46150</v>
      </c>
      <c r="G7" s="16"/>
      <c r="H7" s="17" t="s">
        <v>163</v>
      </c>
    </row>
    <row r="8" spans="1:8" s="17" customFormat="1" x14ac:dyDescent="0.25">
      <c r="A8" s="95" t="s">
        <v>73</v>
      </c>
      <c r="B8" s="96"/>
      <c r="C8" s="97"/>
      <c r="D8" s="93">
        <v>46087</v>
      </c>
      <c r="E8" s="94"/>
      <c r="F8" s="15"/>
      <c r="G8" s="16">
        <v>1</v>
      </c>
    </row>
    <row r="9" spans="1:8" s="17" customFormat="1" x14ac:dyDescent="0.25">
      <c r="A9" s="95" t="s">
        <v>73</v>
      </c>
      <c r="B9" s="96"/>
      <c r="C9" s="97"/>
      <c r="D9" s="93">
        <v>46093</v>
      </c>
      <c r="E9" s="94"/>
      <c r="F9" s="15"/>
      <c r="G9" s="16" t="s">
        <v>157</v>
      </c>
    </row>
    <row r="10" spans="1:8" s="17" customFormat="1" x14ac:dyDescent="0.25">
      <c r="A10" s="95" t="s">
        <v>73</v>
      </c>
      <c r="B10" s="96"/>
      <c r="C10" s="97"/>
      <c r="D10" s="93">
        <v>46108</v>
      </c>
      <c r="E10" s="94"/>
      <c r="F10" s="15"/>
      <c r="G10" s="16">
        <v>1</v>
      </c>
    </row>
    <row r="11" spans="1:8" x14ac:dyDescent="0.25">
      <c r="A11" s="111"/>
      <c r="B11" s="111"/>
      <c r="C11" s="111"/>
      <c r="D11" s="99"/>
      <c r="E11" s="99"/>
      <c r="F11" s="15"/>
      <c r="G11" s="16"/>
    </row>
    <row r="12" spans="1:8" x14ac:dyDescent="0.25">
      <c r="A12" s="81"/>
      <c r="B12" s="81"/>
      <c r="C12" s="81"/>
      <c r="D12" s="90"/>
      <c r="E12" s="90"/>
      <c r="F12" s="3"/>
      <c r="G12" s="3"/>
    </row>
    <row r="13" spans="1:8" x14ac:dyDescent="0.25">
      <c r="A13" s="81"/>
      <c r="B13" s="81"/>
      <c r="C13" s="81"/>
      <c r="D13" s="90"/>
      <c r="E13" s="90"/>
      <c r="F13" s="3"/>
      <c r="G13" s="3"/>
    </row>
  </sheetData>
  <mergeCells count="23">
    <mergeCell ref="A2:G2"/>
    <mergeCell ref="A3:C3"/>
    <mergeCell ref="D3:E3"/>
    <mergeCell ref="A4:C4"/>
    <mergeCell ref="D4:E4"/>
    <mergeCell ref="A12:C12"/>
    <mergeCell ref="D12:E12"/>
    <mergeCell ref="A13:C13"/>
    <mergeCell ref="D13:E13"/>
    <mergeCell ref="A6:C6"/>
    <mergeCell ref="D6:E6"/>
    <mergeCell ref="A9:C9"/>
    <mergeCell ref="D9:E9"/>
    <mergeCell ref="A10:C10"/>
    <mergeCell ref="D10:E10"/>
    <mergeCell ref="A11:C11"/>
    <mergeCell ref="D11:E11"/>
    <mergeCell ref="A7:C7"/>
    <mergeCell ref="A5:C5"/>
    <mergeCell ref="D5:E5"/>
    <mergeCell ref="D7:E7"/>
    <mergeCell ref="A8:C8"/>
    <mergeCell ref="D8:E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9577-93D8-46AF-A088-CF554248DEE0}">
  <dimension ref="A1:H17"/>
  <sheetViews>
    <sheetView zoomScale="90" zoomScaleNormal="90" workbookViewId="0">
      <selection activeCell="K17" sqref="K17"/>
    </sheetView>
  </sheetViews>
  <sheetFormatPr defaultRowHeight="15" x14ac:dyDescent="0.25"/>
  <cols>
    <col min="5" max="5" width="14.5703125" customWidth="1"/>
    <col min="7" max="7" width="6.28515625" customWidth="1"/>
    <col min="8" max="8" width="9.85546875" customWidth="1"/>
  </cols>
  <sheetData>
    <row r="1" spans="1:8" s="4" customFormat="1" ht="19.5" x14ac:dyDescent="0.3"/>
    <row r="2" spans="1:8" s="4" customFormat="1" ht="19.5" x14ac:dyDescent="0.3">
      <c r="A2" s="75" t="s">
        <v>148</v>
      </c>
      <c r="B2" s="75"/>
      <c r="C2" s="75"/>
      <c r="D2" s="75"/>
      <c r="E2" s="75"/>
      <c r="F2" s="75"/>
      <c r="G2" s="75"/>
      <c r="H2" s="75"/>
    </row>
    <row r="3" spans="1:8" x14ac:dyDescent="0.25">
      <c r="A3" s="90" t="s">
        <v>3</v>
      </c>
      <c r="B3" s="90"/>
      <c r="C3" s="90"/>
      <c r="D3" s="90" t="s">
        <v>54</v>
      </c>
      <c r="E3" s="90"/>
      <c r="F3" s="90" t="s">
        <v>55</v>
      </c>
      <c r="G3" s="90"/>
      <c r="H3" s="1" t="s">
        <v>4</v>
      </c>
    </row>
    <row r="4" spans="1:8" x14ac:dyDescent="0.25">
      <c r="A4" s="90" t="s">
        <v>149</v>
      </c>
      <c r="B4" s="90"/>
      <c r="C4" s="90"/>
      <c r="D4" s="91">
        <v>46083</v>
      </c>
      <c r="E4" s="91"/>
      <c r="F4" s="91"/>
      <c r="G4" s="90"/>
      <c r="H4" s="3">
        <v>1</v>
      </c>
    </row>
    <row r="5" spans="1:8" x14ac:dyDescent="0.25">
      <c r="A5" s="90" t="s">
        <v>152</v>
      </c>
      <c r="B5" s="90"/>
      <c r="C5" s="90"/>
      <c r="D5" s="91">
        <v>46084</v>
      </c>
      <c r="E5" s="91"/>
      <c r="F5" s="91"/>
      <c r="G5" s="90"/>
      <c r="H5" s="3">
        <v>1</v>
      </c>
    </row>
    <row r="6" spans="1:8" x14ac:dyDescent="0.25">
      <c r="A6" s="90" t="s">
        <v>150</v>
      </c>
      <c r="B6" s="90"/>
      <c r="C6" s="90"/>
      <c r="D6" s="91">
        <v>46084</v>
      </c>
      <c r="E6" s="91"/>
      <c r="F6" s="91">
        <v>46086</v>
      </c>
      <c r="G6" s="90"/>
      <c r="H6" s="3">
        <v>3</v>
      </c>
    </row>
    <row r="7" spans="1:8" x14ac:dyDescent="0.25">
      <c r="A7" s="90" t="s">
        <v>153</v>
      </c>
      <c r="B7" s="90"/>
      <c r="C7" s="90"/>
      <c r="D7" s="91">
        <v>46086</v>
      </c>
      <c r="E7" s="91"/>
      <c r="F7" s="91">
        <v>46087</v>
      </c>
      <c r="G7" s="90"/>
      <c r="H7" s="3">
        <v>2</v>
      </c>
    </row>
    <row r="8" spans="1:8" x14ac:dyDescent="0.25">
      <c r="A8" s="90" t="s">
        <v>154</v>
      </c>
      <c r="B8" s="90"/>
      <c r="C8" s="90"/>
      <c r="D8" s="91">
        <v>46087</v>
      </c>
      <c r="E8" s="91"/>
      <c r="F8" s="91"/>
      <c r="G8" s="90"/>
      <c r="H8" s="3">
        <v>1</v>
      </c>
    </row>
    <row r="9" spans="1:8" x14ac:dyDescent="0.25">
      <c r="A9" s="90" t="s">
        <v>155</v>
      </c>
      <c r="B9" s="90"/>
      <c r="C9" s="90"/>
      <c r="D9" s="91">
        <v>46092</v>
      </c>
      <c r="E9" s="91"/>
      <c r="F9" s="91"/>
      <c r="G9" s="90"/>
      <c r="H9" s="3">
        <v>1</v>
      </c>
    </row>
    <row r="10" spans="1:8" x14ac:dyDescent="0.25">
      <c r="A10" s="90" t="s">
        <v>156</v>
      </c>
      <c r="B10" s="90"/>
      <c r="C10" s="90"/>
      <c r="D10" s="91">
        <v>46092</v>
      </c>
      <c r="E10" s="91"/>
      <c r="F10" s="91"/>
      <c r="G10" s="90"/>
      <c r="H10" s="3">
        <v>1</v>
      </c>
    </row>
    <row r="11" spans="1:8" x14ac:dyDescent="0.25">
      <c r="A11" s="90" t="s">
        <v>155</v>
      </c>
      <c r="B11" s="90"/>
      <c r="C11" s="90"/>
      <c r="D11" s="93">
        <v>46095</v>
      </c>
      <c r="E11" s="94"/>
      <c r="F11" s="91"/>
      <c r="G11" s="90"/>
      <c r="H11" s="3">
        <v>1</v>
      </c>
    </row>
    <row r="12" spans="1:8" x14ac:dyDescent="0.25">
      <c r="A12" s="90" t="s">
        <v>2</v>
      </c>
      <c r="B12" s="90"/>
      <c r="C12" s="90"/>
      <c r="D12" s="93">
        <v>46099</v>
      </c>
      <c r="E12" s="94"/>
      <c r="F12" s="91">
        <v>46100</v>
      </c>
      <c r="G12" s="90"/>
      <c r="H12" s="3">
        <v>2</v>
      </c>
    </row>
    <row r="13" spans="1:8" x14ac:dyDescent="0.25">
      <c r="A13" s="90" t="s">
        <v>158</v>
      </c>
      <c r="B13" s="90"/>
      <c r="C13" s="90"/>
      <c r="D13" s="93">
        <v>46099</v>
      </c>
      <c r="E13" s="94"/>
      <c r="F13" s="91"/>
      <c r="G13" s="90"/>
      <c r="H13" s="3">
        <v>1</v>
      </c>
    </row>
    <row r="14" spans="1:8" x14ac:dyDescent="0.25">
      <c r="A14" s="90" t="s">
        <v>151</v>
      </c>
      <c r="B14" s="90"/>
      <c r="C14" s="90"/>
      <c r="D14" s="91">
        <v>46104</v>
      </c>
      <c r="E14" s="91"/>
      <c r="F14" s="91">
        <v>46105</v>
      </c>
      <c r="G14" s="90"/>
      <c r="H14" s="3">
        <v>2</v>
      </c>
    </row>
    <row r="15" spans="1:8" x14ac:dyDescent="0.25">
      <c r="A15" s="90"/>
      <c r="B15" s="90"/>
      <c r="C15" s="90"/>
      <c r="D15" s="91"/>
      <c r="E15" s="91"/>
      <c r="F15" s="92"/>
      <c r="G15" s="90"/>
      <c r="H15" s="3"/>
    </row>
    <row r="16" spans="1:8" x14ac:dyDescent="0.25">
      <c r="A16" s="90"/>
      <c r="B16" s="90"/>
      <c r="C16" s="90"/>
      <c r="D16" s="90"/>
      <c r="E16" s="90"/>
      <c r="F16" s="90"/>
      <c r="G16" s="90"/>
      <c r="H16" s="3"/>
    </row>
    <row r="17" spans="1:8" x14ac:dyDescent="0.25">
      <c r="A17" s="90"/>
      <c r="B17" s="90"/>
      <c r="C17" s="90"/>
      <c r="D17" s="90"/>
      <c r="E17" s="90"/>
      <c r="F17" s="90"/>
      <c r="G17" s="90"/>
      <c r="H17" s="3"/>
    </row>
  </sheetData>
  <mergeCells count="46">
    <mergeCell ref="A17:C17"/>
    <mergeCell ref="D17:E17"/>
    <mergeCell ref="F17:G17"/>
    <mergeCell ref="A16:C16"/>
    <mergeCell ref="D16:E16"/>
    <mergeCell ref="F16:G16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A8:C8"/>
    <mergeCell ref="D8:E8"/>
    <mergeCell ref="F8:G8"/>
    <mergeCell ref="A9:C9"/>
    <mergeCell ref="D9:E9"/>
    <mergeCell ref="F9:G9"/>
    <mergeCell ref="A6:C6"/>
    <mergeCell ref="D6:E6"/>
    <mergeCell ref="F6:G6"/>
    <mergeCell ref="A7:C7"/>
    <mergeCell ref="D7:E7"/>
    <mergeCell ref="F7:G7"/>
    <mergeCell ref="A5:C5"/>
    <mergeCell ref="D5:E5"/>
    <mergeCell ref="F5:G5"/>
    <mergeCell ref="A2:H2"/>
    <mergeCell ref="A3:C3"/>
    <mergeCell ref="D3:E3"/>
    <mergeCell ref="F3:G3"/>
    <mergeCell ref="A4:C4"/>
    <mergeCell ref="D4:E4"/>
    <mergeCell ref="F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044E-BF18-4658-8096-0BD427CD5432}">
  <dimension ref="A1:E18"/>
  <sheetViews>
    <sheetView workbookViewId="0">
      <selection activeCell="I13" sqref="I13"/>
    </sheetView>
  </sheetViews>
  <sheetFormatPr defaultRowHeight="15" x14ac:dyDescent="0.25"/>
  <cols>
    <col min="2" max="2" width="28" customWidth="1"/>
    <col min="3" max="3" width="27.7109375" customWidth="1"/>
    <col min="4" max="4" width="16.85546875" customWidth="1"/>
  </cols>
  <sheetData>
    <row r="1" spans="1:5" s="4" customFormat="1" ht="19.5" x14ac:dyDescent="0.3"/>
    <row r="2" spans="1:5" s="4" customFormat="1" ht="19.5" x14ac:dyDescent="0.3">
      <c r="B2" s="75" t="s">
        <v>198</v>
      </c>
      <c r="C2" s="75"/>
      <c r="D2" s="75"/>
      <c r="E2" s="75"/>
    </row>
    <row r="3" spans="1:5" x14ac:dyDescent="0.25">
      <c r="A3" s="1" t="s">
        <v>179</v>
      </c>
      <c r="B3" s="1" t="s">
        <v>3</v>
      </c>
      <c r="C3" s="1" t="s">
        <v>54</v>
      </c>
      <c r="D3" s="1" t="s">
        <v>55</v>
      </c>
      <c r="E3" s="1" t="s">
        <v>4</v>
      </c>
    </row>
    <row r="4" spans="1:5" s="17" customFormat="1" x14ac:dyDescent="0.25">
      <c r="A4" s="28">
        <v>1</v>
      </c>
      <c r="B4" s="52" t="s">
        <v>184</v>
      </c>
      <c r="C4" s="53">
        <v>46113</v>
      </c>
      <c r="D4" s="15"/>
      <c r="E4" s="28">
        <v>1</v>
      </c>
    </row>
    <row r="5" spans="1:5" s="17" customFormat="1" x14ac:dyDescent="0.25">
      <c r="A5" s="28">
        <v>2</v>
      </c>
      <c r="B5" s="48" t="s">
        <v>185</v>
      </c>
      <c r="C5" s="63">
        <v>46119</v>
      </c>
      <c r="D5" s="16"/>
      <c r="E5" s="28">
        <v>1</v>
      </c>
    </row>
    <row r="6" spans="1:5" s="17" customFormat="1" x14ac:dyDescent="0.25">
      <c r="A6" s="28">
        <v>3</v>
      </c>
      <c r="B6" s="48" t="s">
        <v>154</v>
      </c>
      <c r="C6" s="53">
        <v>46120</v>
      </c>
      <c r="D6" s="15"/>
      <c r="E6" s="28">
        <v>1</v>
      </c>
    </row>
    <row r="7" spans="1:5" s="17" customFormat="1" x14ac:dyDescent="0.25">
      <c r="A7" s="28">
        <v>4</v>
      </c>
      <c r="B7" s="48" t="s">
        <v>187</v>
      </c>
      <c r="C7" s="53">
        <v>46120</v>
      </c>
      <c r="D7" s="15"/>
      <c r="E7" s="28">
        <v>1</v>
      </c>
    </row>
    <row r="8" spans="1:5" s="17" customFormat="1" x14ac:dyDescent="0.25">
      <c r="A8" s="28">
        <v>5</v>
      </c>
      <c r="B8" s="48" t="s">
        <v>158</v>
      </c>
      <c r="C8" s="53">
        <v>46126</v>
      </c>
      <c r="D8" s="15">
        <v>46127</v>
      </c>
      <c r="E8" s="28">
        <v>2</v>
      </c>
    </row>
    <row r="9" spans="1:5" s="17" customFormat="1" x14ac:dyDescent="0.25">
      <c r="A9" s="28">
        <v>6</v>
      </c>
      <c r="B9" s="48" t="s">
        <v>73</v>
      </c>
      <c r="C9" s="51">
        <v>46132</v>
      </c>
      <c r="D9" s="15">
        <v>46133</v>
      </c>
      <c r="E9" s="28">
        <v>2</v>
      </c>
    </row>
    <row r="10" spans="1:5" s="17" customFormat="1" x14ac:dyDescent="0.25">
      <c r="A10" s="28">
        <v>7</v>
      </c>
      <c r="B10" s="48" t="s">
        <v>20</v>
      </c>
      <c r="C10" s="53">
        <v>46137</v>
      </c>
      <c r="D10" s="15"/>
      <c r="E10" s="28" t="s">
        <v>157</v>
      </c>
    </row>
    <row r="11" spans="1:5" s="17" customFormat="1" x14ac:dyDescent="0.25">
      <c r="A11" s="28">
        <v>8</v>
      </c>
      <c r="B11" s="48" t="s">
        <v>199</v>
      </c>
      <c r="C11" s="53">
        <v>46134</v>
      </c>
      <c r="D11" s="15"/>
      <c r="E11" s="28">
        <v>1</v>
      </c>
    </row>
    <row r="12" spans="1:5" x14ac:dyDescent="0.25">
      <c r="A12" s="28">
        <v>9</v>
      </c>
      <c r="B12" s="48" t="s">
        <v>8</v>
      </c>
      <c r="C12" s="53">
        <v>46139</v>
      </c>
      <c r="D12" s="15">
        <v>46081</v>
      </c>
      <c r="E12" s="28">
        <v>2</v>
      </c>
    </row>
    <row r="13" spans="1:5" x14ac:dyDescent="0.25">
      <c r="A13" s="28">
        <v>10</v>
      </c>
      <c r="B13" s="16" t="s">
        <v>203</v>
      </c>
      <c r="C13" s="15">
        <v>46140</v>
      </c>
      <c r="D13" s="16"/>
      <c r="E13" s="28">
        <v>1</v>
      </c>
    </row>
    <row r="14" spans="1:5" x14ac:dyDescent="0.25">
      <c r="A14" s="28">
        <v>11</v>
      </c>
      <c r="B14" s="16" t="s">
        <v>186</v>
      </c>
      <c r="C14" s="15">
        <v>46141</v>
      </c>
      <c r="D14" s="15">
        <v>46142</v>
      </c>
      <c r="E14" s="28">
        <v>2</v>
      </c>
    </row>
    <row r="15" spans="1:5" x14ac:dyDescent="0.25">
      <c r="A15" s="28">
        <v>12</v>
      </c>
      <c r="B15" s="64" t="s">
        <v>149</v>
      </c>
      <c r="C15" s="65">
        <v>46142</v>
      </c>
      <c r="D15" s="66"/>
      <c r="E15" s="66">
        <v>1</v>
      </c>
    </row>
    <row r="18" spans="2:3" x14ac:dyDescent="0.25">
      <c r="B18" s="61" t="s">
        <v>204</v>
      </c>
      <c r="C18" s="61" t="s">
        <v>205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9EE5-C156-49CB-BF69-D6429DE049D6}">
  <dimension ref="A1:E32"/>
  <sheetViews>
    <sheetView topLeftCell="A16" workbookViewId="0">
      <selection activeCell="A17" sqref="A17:XFD17"/>
    </sheetView>
  </sheetViews>
  <sheetFormatPr defaultRowHeight="15" x14ac:dyDescent="0.25"/>
  <cols>
    <col min="1" max="1" width="9.140625" style="17"/>
    <col min="2" max="2" width="28.42578125" style="17" customWidth="1"/>
    <col min="3" max="3" width="38.5703125" style="17" customWidth="1"/>
    <col min="4" max="4" width="16.85546875" style="17" customWidth="1"/>
    <col min="5" max="5" width="10.28515625" style="17" customWidth="1"/>
    <col min="6" max="16384" width="9.140625" style="17"/>
  </cols>
  <sheetData>
    <row r="1" spans="1:5" s="62" customFormat="1" ht="19.5" x14ac:dyDescent="0.3"/>
    <row r="2" spans="1:5" s="62" customFormat="1" ht="19.5" x14ac:dyDescent="0.3">
      <c r="B2" s="112" t="s">
        <v>183</v>
      </c>
      <c r="C2" s="112"/>
      <c r="D2" s="112"/>
      <c r="E2" s="112"/>
    </row>
    <row r="3" spans="1:5" x14ac:dyDescent="0.25">
      <c r="A3" s="16" t="s">
        <v>120</v>
      </c>
      <c r="B3" s="28" t="s">
        <v>3</v>
      </c>
      <c r="C3" s="28" t="s">
        <v>54</v>
      </c>
      <c r="D3" s="16" t="s">
        <v>55</v>
      </c>
      <c r="E3" s="28" t="s">
        <v>4</v>
      </c>
    </row>
    <row r="4" spans="1:5" x14ac:dyDescent="0.25">
      <c r="A4" s="16">
        <v>1</v>
      </c>
      <c r="B4" s="56" t="s">
        <v>149</v>
      </c>
      <c r="C4" s="57">
        <v>46113</v>
      </c>
      <c r="D4" s="16"/>
      <c r="E4" s="28">
        <v>1</v>
      </c>
    </row>
    <row r="5" spans="1:5" x14ac:dyDescent="0.25">
      <c r="A5" s="16">
        <v>2</v>
      </c>
      <c r="B5" s="56" t="s">
        <v>149</v>
      </c>
      <c r="C5" s="57">
        <v>46118</v>
      </c>
      <c r="D5" s="16"/>
      <c r="E5" s="28">
        <v>1</v>
      </c>
    </row>
    <row r="6" spans="1:5" x14ac:dyDescent="0.25">
      <c r="A6" s="16">
        <v>3</v>
      </c>
      <c r="B6" s="67" t="s">
        <v>73</v>
      </c>
      <c r="C6" s="68">
        <v>46118</v>
      </c>
      <c r="D6" s="69"/>
      <c r="E6" s="70" t="s">
        <v>157</v>
      </c>
    </row>
    <row r="7" spans="1:5" x14ac:dyDescent="0.25">
      <c r="A7" s="16">
        <v>4</v>
      </c>
      <c r="B7" s="71" t="s">
        <v>186</v>
      </c>
      <c r="C7" s="72">
        <v>46119</v>
      </c>
      <c r="D7" s="73"/>
      <c r="E7" s="74">
        <v>1</v>
      </c>
    </row>
    <row r="8" spans="1:5" x14ac:dyDescent="0.25">
      <c r="A8" s="16">
        <v>5</v>
      </c>
      <c r="B8" s="67" t="s">
        <v>73</v>
      </c>
      <c r="C8" s="68">
        <v>46125</v>
      </c>
      <c r="D8" s="69"/>
      <c r="E8" s="70">
        <v>1</v>
      </c>
    </row>
    <row r="9" spans="1:5" x14ac:dyDescent="0.25">
      <c r="A9" s="16">
        <v>6</v>
      </c>
      <c r="B9" s="48" t="s">
        <v>188</v>
      </c>
      <c r="C9" s="63">
        <v>46129</v>
      </c>
      <c r="D9" s="16"/>
      <c r="E9" s="28">
        <v>1</v>
      </c>
    </row>
    <row r="10" spans="1:5" x14ac:dyDescent="0.25">
      <c r="A10" s="16">
        <v>7</v>
      </c>
      <c r="B10" s="52" t="s">
        <v>68</v>
      </c>
      <c r="C10" s="53">
        <v>46129</v>
      </c>
      <c r="D10" s="15"/>
      <c r="E10" s="28">
        <v>1</v>
      </c>
    </row>
    <row r="11" spans="1:5" x14ac:dyDescent="0.25">
      <c r="A11" s="16">
        <v>8</v>
      </c>
      <c r="B11" s="52" t="s">
        <v>180</v>
      </c>
      <c r="C11" s="53">
        <v>46132</v>
      </c>
      <c r="D11" s="15">
        <v>46136</v>
      </c>
      <c r="E11" s="28">
        <v>5</v>
      </c>
    </row>
    <row r="12" spans="1:5" x14ac:dyDescent="0.25">
      <c r="A12" s="16">
        <v>9</v>
      </c>
      <c r="B12" s="59" t="s">
        <v>200</v>
      </c>
      <c r="C12" s="53">
        <v>46134</v>
      </c>
      <c r="D12" s="15"/>
      <c r="E12" s="28">
        <v>1</v>
      </c>
    </row>
    <row r="13" spans="1:5" x14ac:dyDescent="0.25">
      <c r="A13" s="16">
        <v>10</v>
      </c>
      <c r="B13" s="48" t="s">
        <v>174</v>
      </c>
      <c r="C13" s="53">
        <v>46134</v>
      </c>
      <c r="D13" s="15"/>
      <c r="E13" s="28">
        <v>1</v>
      </c>
    </row>
    <row r="14" spans="1:5" x14ac:dyDescent="0.25">
      <c r="A14" s="16">
        <v>11</v>
      </c>
      <c r="B14" s="48" t="s">
        <v>196</v>
      </c>
      <c r="C14" s="53">
        <v>46136</v>
      </c>
      <c r="D14" s="15"/>
      <c r="E14" s="28">
        <v>1</v>
      </c>
    </row>
    <row r="15" spans="1:5" x14ac:dyDescent="0.25">
      <c r="A15" s="16">
        <v>12</v>
      </c>
      <c r="B15" s="48" t="s">
        <v>193</v>
      </c>
      <c r="C15" s="53">
        <v>46139</v>
      </c>
      <c r="D15" s="15"/>
      <c r="E15" s="28">
        <v>1</v>
      </c>
    </row>
    <row r="16" spans="1:5" x14ac:dyDescent="0.25">
      <c r="A16" s="16">
        <v>14</v>
      </c>
      <c r="B16" s="48" t="s">
        <v>195</v>
      </c>
      <c r="C16" s="53">
        <v>46133</v>
      </c>
      <c r="D16" s="15"/>
      <c r="E16" s="54" t="s">
        <v>157</v>
      </c>
    </row>
    <row r="17" spans="1:5" x14ac:dyDescent="0.25">
      <c r="A17" s="16">
        <v>15</v>
      </c>
      <c r="B17" s="48" t="s">
        <v>190</v>
      </c>
      <c r="C17" s="53">
        <v>46142</v>
      </c>
      <c r="D17" s="15"/>
      <c r="E17" s="28">
        <v>1</v>
      </c>
    </row>
    <row r="18" spans="1:5" x14ac:dyDescent="0.25">
      <c r="A18" s="16">
        <v>16</v>
      </c>
      <c r="B18" s="48"/>
      <c r="C18" s="53"/>
      <c r="D18" s="15"/>
      <c r="E18" s="28"/>
    </row>
    <row r="19" spans="1:5" x14ac:dyDescent="0.25">
      <c r="A19" s="16">
        <v>17</v>
      </c>
      <c r="B19" s="48"/>
      <c r="C19" s="53"/>
      <c r="D19" s="15"/>
      <c r="E19" s="28"/>
    </row>
    <row r="20" spans="1:5" x14ac:dyDescent="0.25">
      <c r="A20" s="16">
        <v>18</v>
      </c>
      <c r="B20" s="48"/>
      <c r="C20" s="51"/>
      <c r="D20" s="15"/>
      <c r="E20" s="28"/>
    </row>
    <row r="21" spans="1:5" x14ac:dyDescent="0.25">
      <c r="A21" s="16"/>
      <c r="B21" s="16"/>
      <c r="C21" s="28"/>
      <c r="D21" s="16"/>
      <c r="E21" s="28"/>
    </row>
    <row r="22" spans="1:5" x14ac:dyDescent="0.25">
      <c r="A22" s="16"/>
      <c r="B22" s="16"/>
      <c r="C22" s="28"/>
      <c r="D22" s="16"/>
      <c r="E22" s="28"/>
    </row>
    <row r="25" spans="1:5" x14ac:dyDescent="0.25">
      <c r="B25" s="61" t="s">
        <v>204</v>
      </c>
      <c r="C25" s="61" t="s">
        <v>205</v>
      </c>
    </row>
    <row r="29" spans="1:5" x14ac:dyDescent="0.25">
      <c r="B29" s="48" t="s">
        <v>73</v>
      </c>
      <c r="C29" s="63">
        <v>46118</v>
      </c>
      <c r="D29" s="28" t="s">
        <v>192</v>
      </c>
      <c r="E29" s="28" t="s">
        <v>157</v>
      </c>
    </row>
    <row r="30" spans="1:5" x14ac:dyDescent="0.25">
      <c r="B30" s="48" t="s">
        <v>73</v>
      </c>
      <c r="C30" s="63">
        <v>46125</v>
      </c>
      <c r="D30" s="28" t="s">
        <v>192</v>
      </c>
      <c r="E30" s="28">
        <v>1</v>
      </c>
    </row>
    <row r="31" spans="1:5" x14ac:dyDescent="0.25">
      <c r="B31" s="48" t="s">
        <v>73</v>
      </c>
      <c r="C31" s="51">
        <v>46132</v>
      </c>
      <c r="D31" s="15" t="s">
        <v>191</v>
      </c>
      <c r="E31" s="28">
        <v>1</v>
      </c>
    </row>
    <row r="32" spans="1:5" x14ac:dyDescent="0.25">
      <c r="B32" s="48" t="s">
        <v>73</v>
      </c>
      <c r="C32" s="51">
        <v>46133</v>
      </c>
      <c r="D32" s="15" t="s">
        <v>191</v>
      </c>
      <c r="E32" s="28">
        <v>1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5745-B189-4944-ADA5-F6F1A5F7307F}">
  <dimension ref="A5:AJ47"/>
  <sheetViews>
    <sheetView tabSelected="1" topLeftCell="A25" workbookViewId="0">
      <pane xSplit="2" topLeftCell="C1" activePane="topRight" state="frozen"/>
      <selection pane="topRight" activeCell="H37" sqref="H37"/>
    </sheetView>
  </sheetViews>
  <sheetFormatPr defaultRowHeight="15" x14ac:dyDescent="0.25"/>
  <cols>
    <col min="2" max="2" width="39.5703125" customWidth="1"/>
    <col min="3" max="3" width="13.140625" customWidth="1"/>
    <col min="5" max="5" width="11.42578125" customWidth="1"/>
    <col min="6" max="6" width="12" customWidth="1"/>
    <col min="7" max="7" width="10.140625" style="17" customWidth="1"/>
    <col min="8" max="8" width="10.140625" customWidth="1"/>
    <col min="9" max="9" width="5.140625" style="17" customWidth="1"/>
    <col min="12" max="14" width="11.42578125" customWidth="1"/>
    <col min="16" max="16" width="11.42578125" customWidth="1"/>
    <col min="17" max="20" width="9" customWidth="1"/>
    <col min="24" max="24" width="11" customWidth="1"/>
  </cols>
  <sheetData>
    <row r="5" spans="1:35" ht="60" x14ac:dyDescent="0.25">
      <c r="A5" s="22" t="s">
        <v>120</v>
      </c>
      <c r="B5" s="22" t="s">
        <v>121</v>
      </c>
      <c r="C5" s="23" t="s">
        <v>95</v>
      </c>
      <c r="D5" s="23" t="s">
        <v>125</v>
      </c>
      <c r="E5" s="31" t="s">
        <v>126</v>
      </c>
      <c r="F5" s="31" t="s">
        <v>127</v>
      </c>
      <c r="G5" s="27" t="s">
        <v>128</v>
      </c>
      <c r="H5" s="25" t="s">
        <v>129</v>
      </c>
      <c r="I5" s="27"/>
      <c r="J5" s="29" t="s">
        <v>131</v>
      </c>
      <c r="K5" s="30" t="s">
        <v>130</v>
      </c>
      <c r="L5" s="30" t="s">
        <v>132</v>
      </c>
      <c r="M5" s="32" t="s">
        <v>133</v>
      </c>
      <c r="N5" s="29" t="s">
        <v>134</v>
      </c>
      <c r="O5" s="30" t="s">
        <v>124</v>
      </c>
      <c r="P5" s="30" t="s">
        <v>135</v>
      </c>
      <c r="Q5" s="32" t="s">
        <v>136</v>
      </c>
      <c r="R5" s="29" t="s">
        <v>138</v>
      </c>
      <c r="S5" s="30" t="s">
        <v>139</v>
      </c>
      <c r="T5" s="30" t="s">
        <v>140</v>
      </c>
      <c r="U5" s="32" t="s">
        <v>137</v>
      </c>
      <c r="V5" s="29" t="s">
        <v>171</v>
      </c>
      <c r="W5" s="30" t="s">
        <v>172</v>
      </c>
      <c r="X5" s="30" t="s">
        <v>173</v>
      </c>
      <c r="Y5" s="24">
        <v>46113</v>
      </c>
      <c r="Z5" s="24">
        <v>46143</v>
      </c>
      <c r="AA5" s="24">
        <v>46174</v>
      </c>
      <c r="AB5" s="24">
        <v>46204</v>
      </c>
      <c r="AC5" s="24">
        <v>46235</v>
      </c>
      <c r="AD5" s="24">
        <v>46266</v>
      </c>
      <c r="AE5" s="24">
        <v>46296</v>
      </c>
      <c r="AF5" s="24">
        <v>46327</v>
      </c>
      <c r="AG5" s="24">
        <v>46357</v>
      </c>
      <c r="AH5" s="23" t="s">
        <v>123</v>
      </c>
      <c r="AI5" s="23" t="s">
        <v>122</v>
      </c>
    </row>
    <row r="6" spans="1:35" ht="18.75" customHeight="1" x14ac:dyDescent="0.25">
      <c r="A6" s="1">
        <v>1</v>
      </c>
      <c r="B6" s="3" t="s">
        <v>75</v>
      </c>
      <c r="C6" s="1">
        <v>16</v>
      </c>
      <c r="D6" s="1">
        <v>8</v>
      </c>
      <c r="E6" s="3"/>
      <c r="F6" s="3"/>
      <c r="G6" s="28">
        <f>D6-E6-F6</f>
        <v>8</v>
      </c>
      <c r="H6" s="26">
        <v>8</v>
      </c>
      <c r="I6" s="28"/>
      <c r="J6" s="1">
        <v>1</v>
      </c>
      <c r="K6" s="1">
        <v>-1</v>
      </c>
      <c r="L6" s="1">
        <f>H6+J6+K6</f>
        <v>8</v>
      </c>
      <c r="M6" s="1">
        <v>8</v>
      </c>
      <c r="N6" s="1">
        <v>1</v>
      </c>
      <c r="O6" s="1">
        <v>-18</v>
      </c>
      <c r="P6" s="1">
        <f>M6+N6+O6</f>
        <v>-9</v>
      </c>
      <c r="Q6" s="1">
        <v>0</v>
      </c>
      <c r="R6" s="1">
        <v>1</v>
      </c>
      <c r="S6" s="3"/>
      <c r="T6" s="1">
        <f>Q6+R6+S6</f>
        <v>1</v>
      </c>
      <c r="U6" s="1">
        <v>1</v>
      </c>
      <c r="V6" s="1">
        <v>1</v>
      </c>
      <c r="W6" s="1"/>
      <c r="X6" s="1">
        <f>U6+V6-W6</f>
        <v>2</v>
      </c>
      <c r="Y6" s="3"/>
      <c r="Z6" s="3"/>
      <c r="AA6" s="3"/>
      <c r="AB6" s="3"/>
      <c r="AC6" s="3"/>
      <c r="AD6" s="3"/>
      <c r="AE6" s="3"/>
      <c r="AF6" s="3"/>
      <c r="AG6" s="3"/>
      <c r="AH6" s="1">
        <v>16</v>
      </c>
      <c r="AI6" s="3"/>
    </row>
    <row r="7" spans="1:35" ht="18.75" customHeight="1" x14ac:dyDescent="0.25">
      <c r="A7" s="1">
        <v>2</v>
      </c>
      <c r="B7" s="3" t="s">
        <v>90</v>
      </c>
      <c r="C7" s="1">
        <v>14</v>
      </c>
      <c r="D7" s="1">
        <v>4.5</v>
      </c>
      <c r="E7" s="3"/>
      <c r="F7" s="3"/>
      <c r="G7" s="28">
        <f t="shared" ref="G7:G36" si="0">D7-E7-F7</f>
        <v>4.5</v>
      </c>
      <c r="H7" s="26">
        <v>4.5</v>
      </c>
      <c r="I7" s="28"/>
      <c r="J7" s="1">
        <v>1</v>
      </c>
      <c r="K7" s="1">
        <v>-5.5</v>
      </c>
      <c r="L7" s="1">
        <f>H7+J7+K7</f>
        <v>0</v>
      </c>
      <c r="M7" s="1">
        <v>0</v>
      </c>
      <c r="N7" s="1">
        <v>1</v>
      </c>
      <c r="O7" s="1"/>
      <c r="P7" s="1">
        <f t="shared" ref="P7:P36" si="1">M7+N7+O7</f>
        <v>1</v>
      </c>
      <c r="Q7" s="1">
        <v>1</v>
      </c>
      <c r="R7" s="1">
        <v>1</v>
      </c>
      <c r="S7" s="3"/>
      <c r="T7" s="1">
        <f t="shared" ref="T7:T42" si="2">Q7+R7+S7</f>
        <v>2</v>
      </c>
      <c r="U7" s="1">
        <v>2</v>
      </c>
      <c r="V7" s="1">
        <v>1</v>
      </c>
      <c r="W7" s="1"/>
      <c r="X7" s="1">
        <f t="shared" ref="X7:X43" si="3">U7+V7-W7</f>
        <v>3</v>
      </c>
      <c r="Y7" s="3"/>
      <c r="Z7" s="3"/>
      <c r="AA7" s="3"/>
      <c r="AB7" s="3"/>
      <c r="AC7" s="3"/>
      <c r="AD7" s="3"/>
      <c r="AE7" s="3"/>
      <c r="AF7" s="3"/>
      <c r="AG7" s="3"/>
      <c r="AH7" s="1">
        <v>14</v>
      </c>
      <c r="AI7" s="3"/>
    </row>
    <row r="8" spans="1:35" ht="18.75" customHeight="1" x14ac:dyDescent="0.25">
      <c r="A8" s="1">
        <v>3</v>
      </c>
      <c r="B8" s="3" t="s">
        <v>91</v>
      </c>
      <c r="C8" s="1">
        <v>10</v>
      </c>
      <c r="D8" s="1">
        <v>12</v>
      </c>
      <c r="E8" s="3"/>
      <c r="F8" s="3"/>
      <c r="G8" s="28">
        <v>0</v>
      </c>
      <c r="H8" s="26">
        <v>0</v>
      </c>
      <c r="I8" s="28"/>
      <c r="J8" s="1">
        <v>1</v>
      </c>
      <c r="K8" s="1"/>
      <c r="L8" s="1">
        <f t="shared" ref="L8:L17" si="4">H8+J8+K8</f>
        <v>1</v>
      </c>
      <c r="M8" s="1">
        <v>1</v>
      </c>
      <c r="N8" s="1">
        <v>1</v>
      </c>
      <c r="O8" s="1"/>
      <c r="P8" s="1">
        <f t="shared" si="1"/>
        <v>2</v>
      </c>
      <c r="Q8" s="1">
        <v>2</v>
      </c>
      <c r="R8" s="1">
        <v>1</v>
      </c>
      <c r="S8" s="3"/>
      <c r="T8" s="1">
        <f t="shared" si="2"/>
        <v>3</v>
      </c>
      <c r="U8" s="1">
        <v>3</v>
      </c>
      <c r="V8" s="1">
        <v>1</v>
      </c>
      <c r="W8" s="1"/>
      <c r="X8" s="1">
        <f t="shared" si="3"/>
        <v>4</v>
      </c>
      <c r="Y8" s="3"/>
      <c r="Z8" s="3"/>
      <c r="AA8" s="3"/>
      <c r="AB8" s="3"/>
      <c r="AC8" s="3"/>
      <c r="AD8" s="3"/>
      <c r="AE8" s="3"/>
      <c r="AF8" s="3"/>
      <c r="AG8" s="3"/>
      <c r="AH8" s="1">
        <v>10</v>
      </c>
      <c r="AI8" s="3"/>
    </row>
    <row r="9" spans="1:35" ht="18.75" customHeight="1" x14ac:dyDescent="0.25">
      <c r="A9" s="1">
        <v>4</v>
      </c>
      <c r="B9" s="3" t="s">
        <v>92</v>
      </c>
      <c r="C9" s="1">
        <v>14</v>
      </c>
      <c r="D9" s="1">
        <v>12</v>
      </c>
      <c r="E9" s="3"/>
      <c r="F9" s="3"/>
      <c r="G9" s="28">
        <f t="shared" si="0"/>
        <v>12</v>
      </c>
      <c r="H9" s="26">
        <v>12</v>
      </c>
      <c r="I9" s="28"/>
      <c r="J9" s="1">
        <v>1</v>
      </c>
      <c r="K9" s="1">
        <v>-7.5</v>
      </c>
      <c r="L9" s="1">
        <f t="shared" si="4"/>
        <v>5.5</v>
      </c>
      <c r="M9" s="1">
        <v>5.5</v>
      </c>
      <c r="N9" s="1">
        <v>1</v>
      </c>
      <c r="O9" s="1"/>
      <c r="P9" s="1">
        <f>M9+N9+O9</f>
        <v>6.5</v>
      </c>
      <c r="Q9" s="1">
        <v>6.5</v>
      </c>
      <c r="R9" s="1">
        <v>1</v>
      </c>
      <c r="S9" s="3"/>
      <c r="T9" s="1">
        <f>Q9+R9+S9</f>
        <v>7.5</v>
      </c>
      <c r="U9" s="1">
        <v>7.5</v>
      </c>
      <c r="V9" s="1">
        <v>1</v>
      </c>
      <c r="W9" s="1"/>
      <c r="X9" s="1">
        <f t="shared" si="3"/>
        <v>8.5</v>
      </c>
      <c r="Y9" s="3"/>
      <c r="Z9" s="3"/>
      <c r="AA9" s="3"/>
      <c r="AB9" s="3"/>
      <c r="AC9" s="3"/>
      <c r="AD9" s="3"/>
      <c r="AE9" s="3"/>
      <c r="AF9" s="3"/>
      <c r="AG9" s="3"/>
      <c r="AH9" s="1">
        <v>14</v>
      </c>
      <c r="AI9" s="3"/>
    </row>
    <row r="10" spans="1:35" ht="18.75" customHeight="1" x14ac:dyDescent="0.25">
      <c r="A10" s="1">
        <v>5</v>
      </c>
      <c r="B10" s="3" t="s">
        <v>93</v>
      </c>
      <c r="C10" s="1">
        <v>14</v>
      </c>
      <c r="D10" s="1">
        <v>2</v>
      </c>
      <c r="E10" s="3"/>
      <c r="F10" s="3">
        <v>1</v>
      </c>
      <c r="G10" s="28">
        <f t="shared" si="0"/>
        <v>1</v>
      </c>
      <c r="H10" s="26">
        <v>1</v>
      </c>
      <c r="I10" s="28"/>
      <c r="J10" s="1">
        <v>1</v>
      </c>
      <c r="K10" s="1"/>
      <c r="L10" s="1">
        <f>H10+J10+K10</f>
        <v>2</v>
      </c>
      <c r="M10" s="1">
        <v>2</v>
      </c>
      <c r="N10" s="1">
        <v>1</v>
      </c>
      <c r="O10" s="1">
        <v>-1.5</v>
      </c>
      <c r="P10" s="1">
        <f t="shared" si="1"/>
        <v>1.5</v>
      </c>
      <c r="Q10" s="1">
        <v>1.5</v>
      </c>
      <c r="R10" s="1">
        <v>1</v>
      </c>
      <c r="S10" s="3">
        <v>-2</v>
      </c>
      <c r="T10" s="1">
        <f>Q10+R10+S10</f>
        <v>0.5</v>
      </c>
      <c r="U10" s="1">
        <v>0.5</v>
      </c>
      <c r="V10" s="1">
        <v>1</v>
      </c>
      <c r="W10" s="1">
        <v>1</v>
      </c>
      <c r="X10" s="1">
        <f t="shared" si="3"/>
        <v>0.5</v>
      </c>
      <c r="Y10" s="3"/>
      <c r="Z10" s="3"/>
      <c r="AA10" s="3"/>
      <c r="AB10" s="3"/>
      <c r="AC10" s="3"/>
      <c r="AD10" s="3"/>
      <c r="AE10" s="3"/>
      <c r="AF10" s="3"/>
      <c r="AG10" s="3"/>
      <c r="AH10" s="1">
        <v>14</v>
      </c>
      <c r="AI10" s="3"/>
    </row>
    <row r="11" spans="1:35" ht="18.75" customHeight="1" x14ac:dyDescent="0.25">
      <c r="A11" s="1">
        <v>6</v>
      </c>
      <c r="B11" s="3" t="s">
        <v>94</v>
      </c>
      <c r="C11" s="1">
        <v>14</v>
      </c>
      <c r="D11" s="1">
        <v>6</v>
      </c>
      <c r="E11" s="3"/>
      <c r="F11" s="3"/>
      <c r="G11" s="28">
        <f t="shared" si="0"/>
        <v>6</v>
      </c>
      <c r="H11" s="26">
        <v>6</v>
      </c>
      <c r="I11" s="28"/>
      <c r="J11" s="1">
        <v>1</v>
      </c>
      <c r="K11" s="1"/>
      <c r="L11" s="1">
        <f t="shared" si="4"/>
        <v>7</v>
      </c>
      <c r="M11" s="1">
        <v>7</v>
      </c>
      <c r="N11" s="1">
        <v>1</v>
      </c>
      <c r="O11" s="1"/>
      <c r="P11" s="1">
        <f t="shared" si="1"/>
        <v>8</v>
      </c>
      <c r="Q11" s="1">
        <v>8</v>
      </c>
      <c r="R11" s="1">
        <v>1</v>
      </c>
      <c r="S11" s="3"/>
      <c r="T11" s="1">
        <f t="shared" si="2"/>
        <v>9</v>
      </c>
      <c r="U11" s="1">
        <v>9</v>
      </c>
      <c r="V11" s="1">
        <v>1</v>
      </c>
      <c r="W11" s="1">
        <v>0.5</v>
      </c>
      <c r="X11" s="1">
        <f t="shared" si="3"/>
        <v>9.5</v>
      </c>
      <c r="Y11" s="3"/>
      <c r="Z11" s="3"/>
      <c r="AA11" s="3"/>
      <c r="AB11" s="3"/>
      <c r="AC11" s="3"/>
      <c r="AD11" s="3"/>
      <c r="AE11" s="3"/>
      <c r="AF11" s="3"/>
      <c r="AG11" s="3"/>
      <c r="AH11" s="1">
        <v>14</v>
      </c>
      <c r="AI11" s="3"/>
    </row>
    <row r="12" spans="1:35" ht="18.75" customHeight="1" x14ac:dyDescent="0.25">
      <c r="A12" s="1">
        <v>7</v>
      </c>
      <c r="B12" s="3" t="s">
        <v>96</v>
      </c>
      <c r="C12" s="1">
        <v>7</v>
      </c>
      <c r="D12" s="1">
        <v>4</v>
      </c>
      <c r="E12" s="3">
        <v>2</v>
      </c>
      <c r="F12" s="3"/>
      <c r="G12" s="28">
        <f t="shared" si="0"/>
        <v>2</v>
      </c>
      <c r="H12" s="26">
        <v>2</v>
      </c>
      <c r="I12" s="28"/>
      <c r="J12" s="1">
        <v>1</v>
      </c>
      <c r="K12" s="1"/>
      <c r="L12" s="1">
        <f>H12+J12+K12</f>
        <v>3</v>
      </c>
      <c r="M12" s="1">
        <v>3</v>
      </c>
      <c r="N12" s="1">
        <v>1</v>
      </c>
      <c r="O12" s="1"/>
      <c r="P12" s="1">
        <f t="shared" si="1"/>
        <v>4</v>
      </c>
      <c r="Q12" s="1">
        <v>4</v>
      </c>
      <c r="R12" s="1">
        <v>1</v>
      </c>
      <c r="S12" s="3"/>
      <c r="T12" s="1">
        <f t="shared" si="2"/>
        <v>5</v>
      </c>
      <c r="U12" s="1">
        <v>5</v>
      </c>
      <c r="V12" s="1">
        <v>1</v>
      </c>
      <c r="W12" s="1"/>
      <c r="X12" s="1">
        <f t="shared" si="3"/>
        <v>6</v>
      </c>
      <c r="Y12" s="3"/>
      <c r="Z12" s="3"/>
      <c r="AA12" s="3"/>
      <c r="AB12" s="3"/>
      <c r="AC12" s="3"/>
      <c r="AD12" s="3"/>
      <c r="AE12" s="3"/>
      <c r="AF12" s="3"/>
      <c r="AG12" s="3"/>
      <c r="AH12" s="1">
        <v>8</v>
      </c>
      <c r="AI12" s="3"/>
    </row>
    <row r="13" spans="1:35" ht="18.75" customHeight="1" x14ac:dyDescent="0.25">
      <c r="A13" s="1">
        <v>8</v>
      </c>
      <c r="B13" s="3" t="s">
        <v>97</v>
      </c>
      <c r="C13" s="1">
        <v>11</v>
      </c>
      <c r="D13" s="1">
        <v>4</v>
      </c>
      <c r="E13" s="3">
        <v>1</v>
      </c>
      <c r="F13" s="3">
        <v>1</v>
      </c>
      <c r="G13" s="28">
        <f t="shared" si="0"/>
        <v>2</v>
      </c>
      <c r="H13" s="26">
        <v>2</v>
      </c>
      <c r="I13" s="28"/>
      <c r="J13" s="1">
        <v>1</v>
      </c>
      <c r="K13" s="1"/>
      <c r="L13" s="1">
        <f t="shared" si="4"/>
        <v>3</v>
      </c>
      <c r="M13" s="1">
        <v>3</v>
      </c>
      <c r="N13" s="1">
        <v>1</v>
      </c>
      <c r="O13" s="1"/>
      <c r="P13" s="1">
        <f t="shared" si="1"/>
        <v>4</v>
      </c>
      <c r="Q13" s="1">
        <v>4</v>
      </c>
      <c r="R13" s="1">
        <v>1</v>
      </c>
      <c r="S13" s="3"/>
      <c r="T13" s="1">
        <f t="shared" si="2"/>
        <v>5</v>
      </c>
      <c r="U13" s="1">
        <v>5</v>
      </c>
      <c r="V13" s="1">
        <v>1</v>
      </c>
      <c r="W13" s="1"/>
      <c r="X13" s="1">
        <f t="shared" si="3"/>
        <v>6</v>
      </c>
      <c r="Y13" s="3"/>
      <c r="Z13" s="3"/>
      <c r="AA13" s="3"/>
      <c r="AB13" s="3"/>
      <c r="AC13" s="3"/>
      <c r="AD13" s="3"/>
      <c r="AE13" s="3"/>
      <c r="AF13" s="3"/>
      <c r="AG13" s="3"/>
      <c r="AH13" s="1">
        <v>11</v>
      </c>
      <c r="AI13" s="3"/>
    </row>
    <row r="14" spans="1:35" ht="18.75" customHeight="1" x14ac:dyDescent="0.25">
      <c r="A14" s="1">
        <v>9</v>
      </c>
      <c r="B14" s="3" t="s">
        <v>98</v>
      </c>
      <c r="C14" s="1">
        <v>7</v>
      </c>
      <c r="D14" s="1">
        <v>2</v>
      </c>
      <c r="E14" s="3"/>
      <c r="F14" s="3"/>
      <c r="G14" s="28">
        <f t="shared" si="0"/>
        <v>2</v>
      </c>
      <c r="H14" s="26">
        <v>2</v>
      </c>
      <c r="I14" s="28"/>
      <c r="J14" s="1">
        <v>1</v>
      </c>
      <c r="K14" s="1"/>
      <c r="L14" s="1">
        <f t="shared" si="4"/>
        <v>3</v>
      </c>
      <c r="M14" s="1">
        <v>3</v>
      </c>
      <c r="N14" s="1">
        <v>1</v>
      </c>
      <c r="O14" s="1"/>
      <c r="P14" s="1">
        <f t="shared" si="1"/>
        <v>4</v>
      </c>
      <c r="Q14" s="1">
        <v>4</v>
      </c>
      <c r="R14" s="1">
        <v>1</v>
      </c>
      <c r="S14" s="3"/>
      <c r="T14" s="1">
        <f t="shared" si="2"/>
        <v>5</v>
      </c>
      <c r="U14" s="1">
        <v>5</v>
      </c>
      <c r="V14" s="1">
        <v>1</v>
      </c>
      <c r="W14" s="1"/>
      <c r="X14" s="1">
        <f t="shared" si="3"/>
        <v>6</v>
      </c>
      <c r="Y14" s="3"/>
      <c r="Z14" s="3"/>
      <c r="AA14" s="3"/>
      <c r="AB14" s="3"/>
      <c r="AC14" s="3"/>
      <c r="AD14" s="3"/>
      <c r="AE14" s="3"/>
      <c r="AF14" s="3"/>
      <c r="AG14" s="3"/>
      <c r="AH14" s="1">
        <v>8</v>
      </c>
      <c r="AI14" s="3"/>
    </row>
    <row r="15" spans="1:35" ht="18.75" customHeight="1" x14ac:dyDescent="0.25">
      <c r="A15" s="1">
        <v>10</v>
      </c>
      <c r="B15" s="3" t="s">
        <v>99</v>
      </c>
      <c r="C15" s="1">
        <v>7</v>
      </c>
      <c r="D15" s="1">
        <v>7</v>
      </c>
      <c r="E15" s="3">
        <v>1</v>
      </c>
      <c r="F15" s="3"/>
      <c r="G15" s="28">
        <f t="shared" si="0"/>
        <v>6</v>
      </c>
      <c r="H15" s="26">
        <v>6</v>
      </c>
      <c r="I15" s="28"/>
      <c r="J15" s="1">
        <v>1</v>
      </c>
      <c r="K15" s="1"/>
      <c r="L15" s="1">
        <f>H15+J15+K15</f>
        <v>7</v>
      </c>
      <c r="M15" s="1">
        <v>7</v>
      </c>
      <c r="N15" s="1">
        <v>1</v>
      </c>
      <c r="O15" s="1"/>
      <c r="P15" s="1">
        <f t="shared" si="1"/>
        <v>8</v>
      </c>
      <c r="Q15" s="1">
        <v>8</v>
      </c>
      <c r="R15" s="1">
        <v>1</v>
      </c>
      <c r="S15" s="3"/>
      <c r="T15" s="1">
        <f t="shared" si="2"/>
        <v>9</v>
      </c>
      <c r="U15" s="1">
        <v>9</v>
      </c>
      <c r="V15" s="1">
        <v>1</v>
      </c>
      <c r="W15" s="1"/>
      <c r="X15" s="1">
        <f t="shared" si="3"/>
        <v>10</v>
      </c>
      <c r="Y15" s="3"/>
      <c r="Z15" s="3"/>
      <c r="AA15" s="3"/>
      <c r="AB15" s="3"/>
      <c r="AC15" s="3"/>
      <c r="AD15" s="3"/>
      <c r="AE15" s="3"/>
      <c r="AF15" s="3"/>
      <c r="AG15" s="3"/>
      <c r="AH15" s="1">
        <v>8</v>
      </c>
      <c r="AI15" s="3"/>
    </row>
    <row r="16" spans="1:35" ht="18.75" customHeight="1" x14ac:dyDescent="0.25">
      <c r="A16" s="1">
        <v>11</v>
      </c>
      <c r="B16" s="3" t="s">
        <v>100</v>
      </c>
      <c r="C16" s="1">
        <v>7</v>
      </c>
      <c r="D16" s="1">
        <v>0</v>
      </c>
      <c r="E16" s="3"/>
      <c r="F16" s="3"/>
      <c r="G16" s="28">
        <f t="shared" si="0"/>
        <v>0</v>
      </c>
      <c r="H16" s="26">
        <v>0</v>
      </c>
      <c r="I16" s="28"/>
      <c r="J16" s="1">
        <v>1</v>
      </c>
      <c r="K16" s="1"/>
      <c r="L16" s="1">
        <f t="shared" si="4"/>
        <v>1</v>
      </c>
      <c r="M16" s="1">
        <v>1</v>
      </c>
      <c r="N16" s="1">
        <v>1</v>
      </c>
      <c r="O16" s="1"/>
      <c r="P16" s="1">
        <f t="shared" si="1"/>
        <v>2</v>
      </c>
      <c r="Q16" s="1">
        <v>2</v>
      </c>
      <c r="R16" s="1">
        <v>1</v>
      </c>
      <c r="S16" s="3"/>
      <c r="T16" s="1">
        <f t="shared" si="2"/>
        <v>3</v>
      </c>
      <c r="U16" s="1">
        <v>3</v>
      </c>
      <c r="V16" s="1">
        <v>1</v>
      </c>
      <c r="W16" s="1"/>
      <c r="X16" s="1">
        <f t="shared" si="3"/>
        <v>4</v>
      </c>
      <c r="Y16" s="3"/>
      <c r="Z16" s="3"/>
      <c r="AA16" s="3"/>
      <c r="AB16" s="3"/>
      <c r="AC16" s="3"/>
      <c r="AD16" s="3"/>
      <c r="AE16" s="3"/>
      <c r="AF16" s="3"/>
      <c r="AG16" s="3"/>
      <c r="AH16" s="1">
        <v>8</v>
      </c>
      <c r="AI16" s="3"/>
    </row>
    <row r="17" spans="1:35" ht="18.75" customHeight="1" x14ac:dyDescent="0.25">
      <c r="A17" s="1">
        <v>12</v>
      </c>
      <c r="B17" s="3" t="s">
        <v>101</v>
      </c>
      <c r="C17" s="1">
        <v>7</v>
      </c>
      <c r="D17" s="1">
        <v>3</v>
      </c>
      <c r="E17" s="3"/>
      <c r="F17" s="3"/>
      <c r="G17" s="28">
        <f t="shared" si="0"/>
        <v>3</v>
      </c>
      <c r="H17" s="26">
        <v>3</v>
      </c>
      <c r="I17" s="28"/>
      <c r="J17" s="1">
        <v>1</v>
      </c>
      <c r="K17" s="1"/>
      <c r="L17" s="1">
        <f t="shared" si="4"/>
        <v>4</v>
      </c>
      <c r="M17" s="1">
        <v>4</v>
      </c>
      <c r="N17" s="1">
        <v>1</v>
      </c>
      <c r="O17" s="1"/>
      <c r="P17" s="1">
        <f t="shared" si="1"/>
        <v>5</v>
      </c>
      <c r="Q17" s="1">
        <v>5</v>
      </c>
      <c r="R17" s="1">
        <v>1</v>
      </c>
      <c r="S17" s="3"/>
      <c r="T17" s="1">
        <f t="shared" si="2"/>
        <v>6</v>
      </c>
      <c r="U17" s="1">
        <v>6</v>
      </c>
      <c r="V17" s="1">
        <v>1</v>
      </c>
      <c r="W17" s="1"/>
      <c r="X17" s="1">
        <f t="shared" si="3"/>
        <v>7</v>
      </c>
      <c r="Y17" s="3"/>
      <c r="Z17" s="3"/>
      <c r="AA17" s="3"/>
      <c r="AB17" s="3"/>
      <c r="AC17" s="3"/>
      <c r="AD17" s="3"/>
      <c r="AE17" s="3"/>
      <c r="AF17" s="3"/>
      <c r="AG17" s="3"/>
      <c r="AH17" s="1">
        <v>8</v>
      </c>
      <c r="AI17" s="3"/>
    </row>
    <row r="18" spans="1:35" ht="18.75" customHeight="1" x14ac:dyDescent="0.25">
      <c r="A18" s="1">
        <v>13</v>
      </c>
      <c r="B18" s="3" t="s">
        <v>102</v>
      </c>
      <c r="C18" s="1">
        <v>7</v>
      </c>
      <c r="D18" s="1">
        <v>1</v>
      </c>
      <c r="E18" s="3"/>
      <c r="F18" s="3"/>
      <c r="G18" s="28">
        <f t="shared" si="0"/>
        <v>1</v>
      </c>
      <c r="H18" s="26">
        <v>1</v>
      </c>
      <c r="I18" s="28"/>
      <c r="J18" s="1">
        <v>1</v>
      </c>
      <c r="K18" s="1"/>
      <c r="L18" s="1">
        <f>H18+J18+K18</f>
        <v>2</v>
      </c>
      <c r="M18" s="1">
        <v>2</v>
      </c>
      <c r="N18" s="1">
        <v>1</v>
      </c>
      <c r="O18" s="1"/>
      <c r="P18" s="1">
        <f t="shared" si="1"/>
        <v>3</v>
      </c>
      <c r="Q18" s="1">
        <v>3</v>
      </c>
      <c r="R18" s="1">
        <v>1</v>
      </c>
      <c r="S18" s="3"/>
      <c r="T18" s="1">
        <f t="shared" si="2"/>
        <v>4</v>
      </c>
      <c r="U18" s="1">
        <v>4</v>
      </c>
      <c r="V18" s="1">
        <v>1</v>
      </c>
      <c r="W18" s="1"/>
      <c r="X18" s="1">
        <f t="shared" si="3"/>
        <v>5</v>
      </c>
      <c r="Y18" s="3"/>
      <c r="Z18" s="3"/>
      <c r="AA18" s="3"/>
      <c r="AB18" s="3"/>
      <c r="AC18" s="3"/>
      <c r="AD18" s="3"/>
      <c r="AE18" s="3"/>
      <c r="AF18" s="3"/>
      <c r="AG18" s="3"/>
      <c r="AH18" s="1">
        <v>8</v>
      </c>
      <c r="AI18" s="3"/>
    </row>
    <row r="19" spans="1:35" ht="18.75" customHeight="1" x14ac:dyDescent="0.25">
      <c r="A19" s="1">
        <v>14</v>
      </c>
      <c r="B19" s="3" t="s">
        <v>103</v>
      </c>
      <c r="C19" s="1">
        <v>14</v>
      </c>
      <c r="D19" s="1">
        <v>3</v>
      </c>
      <c r="E19" s="3">
        <v>2</v>
      </c>
      <c r="F19" s="3">
        <v>5</v>
      </c>
      <c r="G19" s="28">
        <f t="shared" si="0"/>
        <v>-4</v>
      </c>
      <c r="H19" s="26">
        <v>0</v>
      </c>
      <c r="I19" s="28"/>
      <c r="J19" s="1">
        <v>1</v>
      </c>
      <c r="K19" s="1"/>
      <c r="L19" s="1">
        <f>H19+J19+K19</f>
        <v>1</v>
      </c>
      <c r="M19" s="1">
        <v>1</v>
      </c>
      <c r="N19" s="1">
        <v>1</v>
      </c>
      <c r="O19" s="1">
        <v>-1</v>
      </c>
      <c r="P19" s="1">
        <f t="shared" si="1"/>
        <v>1</v>
      </c>
      <c r="Q19" s="1">
        <v>1</v>
      </c>
      <c r="R19" s="1">
        <v>1</v>
      </c>
      <c r="S19" s="3">
        <v>-2.5</v>
      </c>
      <c r="T19" s="1">
        <f t="shared" si="2"/>
        <v>-0.5</v>
      </c>
      <c r="U19" s="1">
        <v>0</v>
      </c>
      <c r="V19" s="1">
        <v>1</v>
      </c>
      <c r="W19" s="1">
        <v>1.5</v>
      </c>
      <c r="X19" s="1">
        <f t="shared" si="3"/>
        <v>-0.5</v>
      </c>
      <c r="Y19" s="3"/>
      <c r="Z19" s="3"/>
      <c r="AA19" s="3"/>
      <c r="AB19" s="3"/>
      <c r="AC19" s="3"/>
      <c r="AD19" s="3"/>
      <c r="AE19" s="3"/>
      <c r="AF19" s="3"/>
      <c r="AG19" s="3"/>
      <c r="AH19" s="1">
        <v>14</v>
      </c>
      <c r="AI19" s="3"/>
    </row>
    <row r="20" spans="1:35" ht="18.75" customHeight="1" x14ac:dyDescent="0.25">
      <c r="A20" s="1">
        <v>15</v>
      </c>
      <c r="B20" s="3" t="s">
        <v>104</v>
      </c>
      <c r="C20" s="1">
        <v>14</v>
      </c>
      <c r="D20" s="1">
        <v>7</v>
      </c>
      <c r="E20" s="3"/>
      <c r="F20" s="3"/>
      <c r="G20" s="28">
        <f t="shared" si="0"/>
        <v>7</v>
      </c>
      <c r="H20" s="26">
        <v>7</v>
      </c>
      <c r="I20" s="28"/>
      <c r="J20" s="1">
        <v>1</v>
      </c>
      <c r="K20" s="1">
        <v>-4</v>
      </c>
      <c r="L20" s="1">
        <f t="shared" ref="L20" si="5">H20+J20+K20</f>
        <v>4</v>
      </c>
      <c r="M20" s="1">
        <v>4</v>
      </c>
      <c r="N20" s="1">
        <v>1</v>
      </c>
      <c r="O20" s="1">
        <v>-2</v>
      </c>
      <c r="P20" s="1">
        <f t="shared" si="1"/>
        <v>3</v>
      </c>
      <c r="Q20" s="1">
        <v>3</v>
      </c>
      <c r="R20" s="1">
        <v>1</v>
      </c>
      <c r="S20" s="3"/>
      <c r="T20" s="1">
        <f t="shared" si="2"/>
        <v>4</v>
      </c>
      <c r="U20" s="1">
        <v>4</v>
      </c>
      <c r="V20" s="1">
        <v>1</v>
      </c>
      <c r="W20" s="1">
        <v>1</v>
      </c>
      <c r="X20" s="1">
        <f t="shared" si="3"/>
        <v>4</v>
      </c>
      <c r="Y20" s="3"/>
      <c r="Z20" s="3"/>
      <c r="AA20" s="3"/>
      <c r="AB20" s="3"/>
      <c r="AC20" s="3"/>
      <c r="AD20" s="3"/>
      <c r="AE20" s="3"/>
      <c r="AF20" s="3"/>
      <c r="AG20" s="3"/>
      <c r="AH20" s="1">
        <v>14</v>
      </c>
      <c r="AI20" s="3"/>
    </row>
    <row r="21" spans="1:35" ht="18.75" customHeight="1" x14ac:dyDescent="0.25">
      <c r="A21" s="1">
        <v>18</v>
      </c>
      <c r="B21" s="3" t="s">
        <v>107</v>
      </c>
      <c r="C21" s="1">
        <v>7</v>
      </c>
      <c r="D21" s="1">
        <v>2</v>
      </c>
      <c r="E21" s="3">
        <v>1</v>
      </c>
      <c r="F21" s="3">
        <v>1</v>
      </c>
      <c r="G21" s="28">
        <f>D21-E21-F21</f>
        <v>0</v>
      </c>
      <c r="H21" s="26">
        <v>0</v>
      </c>
      <c r="I21" s="28"/>
      <c r="J21" s="1">
        <v>1</v>
      </c>
      <c r="K21" s="1">
        <v>-11</v>
      </c>
      <c r="L21" s="1">
        <f>H21+J21+K21</f>
        <v>-10</v>
      </c>
      <c r="M21" s="1">
        <v>0</v>
      </c>
      <c r="N21" s="1">
        <v>1</v>
      </c>
      <c r="O21" s="1"/>
      <c r="P21" s="1">
        <f t="shared" si="1"/>
        <v>1</v>
      </c>
      <c r="Q21" s="1">
        <v>1</v>
      </c>
      <c r="R21" s="1">
        <v>1</v>
      </c>
      <c r="S21" s="3"/>
      <c r="T21" s="1">
        <f t="shared" si="2"/>
        <v>2</v>
      </c>
      <c r="U21" s="1">
        <v>2</v>
      </c>
      <c r="V21" s="1">
        <v>1</v>
      </c>
      <c r="W21" s="1">
        <v>2</v>
      </c>
      <c r="X21" s="1">
        <f t="shared" si="3"/>
        <v>1</v>
      </c>
      <c r="Y21" s="3"/>
      <c r="Z21" s="3"/>
      <c r="AA21" s="3"/>
      <c r="AB21" s="3"/>
      <c r="AC21" s="3"/>
      <c r="AD21" s="3"/>
      <c r="AE21" s="3"/>
      <c r="AF21" s="3"/>
      <c r="AG21" s="3"/>
      <c r="AH21" s="1">
        <v>8</v>
      </c>
      <c r="AI21" s="3"/>
    </row>
    <row r="22" spans="1:35" ht="18.75" customHeight="1" x14ac:dyDescent="0.25">
      <c r="A22" s="1">
        <v>19</v>
      </c>
      <c r="B22" s="3" t="s">
        <v>83</v>
      </c>
      <c r="C22" s="1">
        <v>7</v>
      </c>
      <c r="D22" s="1">
        <v>4</v>
      </c>
      <c r="E22" s="3"/>
      <c r="F22" s="3"/>
      <c r="G22" s="28">
        <f t="shared" si="0"/>
        <v>4</v>
      </c>
      <c r="H22" s="26">
        <v>4</v>
      </c>
      <c r="I22" s="28"/>
      <c r="J22" s="1">
        <v>1</v>
      </c>
      <c r="K22" s="1"/>
      <c r="L22" s="1">
        <f>H22+J22+K22</f>
        <v>5</v>
      </c>
      <c r="M22" s="1">
        <v>5</v>
      </c>
      <c r="N22" s="1">
        <v>1</v>
      </c>
      <c r="O22" s="1"/>
      <c r="P22" s="1">
        <f t="shared" si="1"/>
        <v>6</v>
      </c>
      <c r="Q22" s="1">
        <v>6</v>
      </c>
      <c r="R22" s="1">
        <v>1</v>
      </c>
      <c r="S22" s="3"/>
      <c r="T22" s="1">
        <f t="shared" si="2"/>
        <v>7</v>
      </c>
      <c r="U22" s="1">
        <v>7</v>
      </c>
      <c r="V22" s="1">
        <v>1</v>
      </c>
      <c r="W22" s="1"/>
      <c r="X22" s="1">
        <f t="shared" si="3"/>
        <v>8</v>
      </c>
      <c r="Y22" s="3"/>
      <c r="Z22" s="3"/>
      <c r="AA22" s="3"/>
      <c r="AB22" s="3"/>
      <c r="AC22" s="3"/>
      <c r="AD22" s="3"/>
      <c r="AE22" s="3"/>
      <c r="AF22" s="3"/>
      <c r="AG22" s="3"/>
      <c r="AH22" s="1">
        <v>8</v>
      </c>
      <c r="AI22" s="3"/>
    </row>
    <row r="23" spans="1:35" ht="18.75" customHeight="1" x14ac:dyDescent="0.25">
      <c r="A23" s="1">
        <v>20</v>
      </c>
      <c r="B23" s="3" t="s">
        <v>108</v>
      </c>
      <c r="C23" s="1">
        <v>7</v>
      </c>
      <c r="D23" s="1">
        <v>9</v>
      </c>
      <c r="E23" s="3"/>
      <c r="F23" s="3"/>
      <c r="G23" s="28">
        <f t="shared" si="0"/>
        <v>9</v>
      </c>
      <c r="H23" s="26">
        <v>9</v>
      </c>
      <c r="I23" s="28"/>
      <c r="J23" s="1">
        <v>1</v>
      </c>
      <c r="K23" s="1"/>
      <c r="L23" s="1">
        <f t="shared" ref="L23" si="6">H23+J23+K23</f>
        <v>10</v>
      </c>
      <c r="M23" s="1">
        <v>10</v>
      </c>
      <c r="N23" s="1">
        <v>1</v>
      </c>
      <c r="O23" s="1"/>
      <c r="P23" s="1">
        <f t="shared" si="1"/>
        <v>11</v>
      </c>
      <c r="Q23" s="1">
        <v>11</v>
      </c>
      <c r="R23" s="1">
        <v>1</v>
      </c>
      <c r="S23" s="3"/>
      <c r="T23" s="1">
        <f t="shared" si="2"/>
        <v>12</v>
      </c>
      <c r="U23" s="1">
        <v>12</v>
      </c>
      <c r="V23" s="1">
        <v>1</v>
      </c>
      <c r="W23" s="1"/>
      <c r="X23" s="1">
        <f t="shared" si="3"/>
        <v>13</v>
      </c>
      <c r="Y23" s="3"/>
      <c r="Z23" s="3"/>
      <c r="AA23" s="3"/>
      <c r="AB23" s="3"/>
      <c r="AC23" s="3"/>
      <c r="AD23" s="3"/>
      <c r="AE23" s="3"/>
      <c r="AF23" s="3"/>
      <c r="AG23" s="3"/>
      <c r="AH23" s="1">
        <v>8</v>
      </c>
      <c r="AI23" s="3"/>
    </row>
    <row r="24" spans="1:35" ht="18.75" customHeight="1" x14ac:dyDescent="0.25">
      <c r="A24" s="1">
        <v>21</v>
      </c>
      <c r="B24" s="3" t="s">
        <v>109</v>
      </c>
      <c r="C24" s="1">
        <v>7</v>
      </c>
      <c r="D24" s="1">
        <v>8</v>
      </c>
      <c r="E24" s="3"/>
      <c r="F24" s="3"/>
      <c r="G24" s="28">
        <f t="shared" si="0"/>
        <v>8</v>
      </c>
      <c r="H24" s="26">
        <v>8</v>
      </c>
      <c r="I24" s="28"/>
      <c r="J24" s="1">
        <v>1</v>
      </c>
      <c r="K24" s="1"/>
      <c r="L24" s="1">
        <f>H24+J24+K24</f>
        <v>9</v>
      </c>
      <c r="M24" s="1">
        <v>9</v>
      </c>
      <c r="N24" s="1">
        <v>1</v>
      </c>
      <c r="O24" s="1"/>
      <c r="P24" s="1">
        <f t="shared" si="1"/>
        <v>10</v>
      </c>
      <c r="Q24" s="1">
        <v>10</v>
      </c>
      <c r="R24" s="1">
        <v>1</v>
      </c>
      <c r="S24" s="3"/>
      <c r="T24" s="1">
        <f t="shared" si="2"/>
        <v>11</v>
      </c>
      <c r="U24" s="1">
        <v>11</v>
      </c>
      <c r="V24" s="1">
        <v>1</v>
      </c>
      <c r="W24" s="1"/>
      <c r="X24" s="1">
        <f t="shared" si="3"/>
        <v>12</v>
      </c>
      <c r="Y24" s="3"/>
      <c r="Z24" s="3"/>
      <c r="AA24" s="3"/>
      <c r="AB24" s="3"/>
      <c r="AC24" s="3"/>
      <c r="AD24" s="3"/>
      <c r="AE24" s="3"/>
      <c r="AF24" s="3"/>
      <c r="AG24" s="3"/>
      <c r="AH24" s="1">
        <v>8</v>
      </c>
      <c r="AI24" s="3"/>
    </row>
    <row r="25" spans="1:35" ht="18.75" customHeight="1" x14ac:dyDescent="0.25">
      <c r="A25" s="1">
        <v>22</v>
      </c>
      <c r="B25" s="3" t="s">
        <v>119</v>
      </c>
      <c r="C25" s="1">
        <v>7</v>
      </c>
      <c r="D25" s="1">
        <v>1</v>
      </c>
      <c r="E25" s="3"/>
      <c r="F25" s="3">
        <v>1</v>
      </c>
      <c r="G25" s="28">
        <f t="shared" si="0"/>
        <v>0</v>
      </c>
      <c r="H25" s="26">
        <v>0</v>
      </c>
      <c r="I25" s="28"/>
      <c r="J25" s="1">
        <v>1</v>
      </c>
      <c r="K25" s="1"/>
      <c r="L25" s="1">
        <f t="shared" ref="L25:L26" si="7">H25+J25+K25</f>
        <v>1</v>
      </c>
      <c r="M25" s="1">
        <v>1</v>
      </c>
      <c r="N25" s="1">
        <v>1</v>
      </c>
      <c r="O25" s="1"/>
      <c r="P25" s="1">
        <f t="shared" si="1"/>
        <v>2</v>
      </c>
      <c r="Q25" s="1">
        <v>2</v>
      </c>
      <c r="R25" s="1">
        <v>1</v>
      </c>
      <c r="S25" s="3"/>
      <c r="T25" s="1">
        <f t="shared" si="2"/>
        <v>3</v>
      </c>
      <c r="U25" s="1">
        <v>3</v>
      </c>
      <c r="V25" s="1">
        <v>1</v>
      </c>
      <c r="W25" s="1"/>
      <c r="X25" s="1">
        <f t="shared" si="3"/>
        <v>4</v>
      </c>
      <c r="Y25" s="3"/>
      <c r="Z25" s="3"/>
      <c r="AA25" s="3"/>
      <c r="AB25" s="3"/>
      <c r="AC25" s="3"/>
      <c r="AD25" s="3"/>
      <c r="AE25" s="3"/>
      <c r="AF25" s="3"/>
      <c r="AG25" s="3"/>
      <c r="AH25" s="1">
        <v>0</v>
      </c>
      <c r="AI25" s="3"/>
    </row>
    <row r="26" spans="1:35" ht="18.75" customHeight="1" x14ac:dyDescent="0.25">
      <c r="A26" s="1">
        <v>23</v>
      </c>
      <c r="B26" s="3" t="s">
        <v>110</v>
      </c>
      <c r="C26" s="1">
        <v>7</v>
      </c>
      <c r="D26" s="1">
        <v>4</v>
      </c>
      <c r="E26" s="3"/>
      <c r="F26" s="3"/>
      <c r="G26" s="28">
        <f t="shared" si="0"/>
        <v>4</v>
      </c>
      <c r="H26" s="26">
        <v>4</v>
      </c>
      <c r="I26" s="28"/>
      <c r="J26" s="1">
        <v>1</v>
      </c>
      <c r="K26" s="1"/>
      <c r="L26" s="1">
        <f t="shared" si="7"/>
        <v>5</v>
      </c>
      <c r="M26" s="1">
        <v>5</v>
      </c>
      <c r="N26" s="1">
        <v>1</v>
      </c>
      <c r="O26" s="1"/>
      <c r="P26" s="1">
        <f t="shared" si="1"/>
        <v>6</v>
      </c>
      <c r="Q26" s="1">
        <v>6</v>
      </c>
      <c r="R26" s="1">
        <v>1</v>
      </c>
      <c r="S26" s="3"/>
      <c r="T26" s="1">
        <f t="shared" si="2"/>
        <v>7</v>
      </c>
      <c r="U26" s="1">
        <v>7</v>
      </c>
      <c r="V26" s="1">
        <v>1</v>
      </c>
      <c r="W26" s="1"/>
      <c r="X26" s="1">
        <f t="shared" si="3"/>
        <v>8</v>
      </c>
      <c r="Y26" s="3"/>
      <c r="Z26" s="3"/>
      <c r="AA26" s="3"/>
      <c r="AB26" s="3"/>
      <c r="AC26" s="3"/>
      <c r="AD26" s="3"/>
      <c r="AE26" s="3"/>
      <c r="AF26" s="3"/>
      <c r="AG26" s="3"/>
      <c r="AH26" s="1">
        <v>8</v>
      </c>
      <c r="AI26" s="3"/>
    </row>
    <row r="27" spans="1:35" ht="18.75" customHeight="1" x14ac:dyDescent="0.25">
      <c r="A27" s="1">
        <v>24</v>
      </c>
      <c r="B27" s="3" t="s">
        <v>111</v>
      </c>
      <c r="C27" s="1">
        <v>16</v>
      </c>
      <c r="D27" s="1">
        <v>8</v>
      </c>
      <c r="E27" s="3"/>
      <c r="F27" s="3"/>
      <c r="G27" s="28">
        <f t="shared" si="0"/>
        <v>8</v>
      </c>
      <c r="H27" s="26">
        <v>8</v>
      </c>
      <c r="I27" s="28"/>
      <c r="J27" s="1">
        <v>1</v>
      </c>
      <c r="K27" s="1"/>
      <c r="L27" s="1">
        <f>H27+J27+K27</f>
        <v>9</v>
      </c>
      <c r="M27" s="1">
        <v>9</v>
      </c>
      <c r="N27" s="1">
        <v>1</v>
      </c>
      <c r="O27" s="1"/>
      <c r="P27" s="1">
        <f t="shared" si="1"/>
        <v>10</v>
      </c>
      <c r="Q27" s="1">
        <v>10</v>
      </c>
      <c r="R27" s="1">
        <v>1</v>
      </c>
      <c r="S27" s="3"/>
      <c r="T27" s="1">
        <f t="shared" si="2"/>
        <v>11</v>
      </c>
      <c r="U27" s="1">
        <v>11</v>
      </c>
      <c r="V27" s="1">
        <v>1</v>
      </c>
      <c r="W27" s="1">
        <v>1</v>
      </c>
      <c r="X27" s="1">
        <f t="shared" si="3"/>
        <v>11</v>
      </c>
      <c r="Y27" s="3"/>
      <c r="Z27" s="3"/>
      <c r="AA27" s="3"/>
      <c r="AB27" s="3"/>
      <c r="AC27" s="3"/>
      <c r="AD27" s="3"/>
      <c r="AE27" s="3"/>
      <c r="AF27" s="3"/>
      <c r="AG27" s="3"/>
      <c r="AH27" s="1">
        <v>16</v>
      </c>
      <c r="AI27" s="3"/>
    </row>
    <row r="28" spans="1:35" ht="18.75" customHeight="1" x14ac:dyDescent="0.25">
      <c r="A28" s="1">
        <v>25</v>
      </c>
      <c r="B28" s="3" t="s">
        <v>112</v>
      </c>
      <c r="C28" s="1">
        <v>7</v>
      </c>
      <c r="D28" s="1">
        <v>4</v>
      </c>
      <c r="E28" s="3"/>
      <c r="F28" s="3">
        <v>1</v>
      </c>
      <c r="G28" s="28">
        <f t="shared" si="0"/>
        <v>3</v>
      </c>
      <c r="H28" s="26">
        <v>3</v>
      </c>
      <c r="I28" s="28"/>
      <c r="J28" s="1">
        <v>1</v>
      </c>
      <c r="K28" s="1"/>
      <c r="L28" s="1">
        <f t="shared" ref="L28" si="8">H28+J28+K28</f>
        <v>4</v>
      </c>
      <c r="M28" s="1">
        <v>4</v>
      </c>
      <c r="N28" s="1">
        <v>1</v>
      </c>
      <c r="O28" s="1"/>
      <c r="P28" s="1">
        <f t="shared" si="1"/>
        <v>5</v>
      </c>
      <c r="Q28" s="1">
        <v>5</v>
      </c>
      <c r="R28" s="1">
        <v>1</v>
      </c>
      <c r="S28" s="3"/>
      <c r="T28" s="1">
        <f t="shared" si="2"/>
        <v>6</v>
      </c>
      <c r="U28" s="1">
        <v>6</v>
      </c>
      <c r="V28" s="1">
        <v>1</v>
      </c>
      <c r="W28" s="1"/>
      <c r="X28" s="1">
        <f t="shared" si="3"/>
        <v>7</v>
      </c>
      <c r="Y28" s="3"/>
      <c r="Z28" s="3"/>
      <c r="AA28" s="3"/>
      <c r="AB28" s="3"/>
      <c r="AC28" s="3"/>
      <c r="AD28" s="3"/>
      <c r="AE28" s="3"/>
      <c r="AF28" s="3"/>
      <c r="AG28" s="3"/>
      <c r="AH28" s="1">
        <v>8</v>
      </c>
      <c r="AI28" s="3"/>
    </row>
    <row r="29" spans="1:35" ht="18.75" customHeight="1" x14ac:dyDescent="0.25">
      <c r="A29" s="1">
        <v>26</v>
      </c>
      <c r="B29" s="3" t="s">
        <v>113</v>
      </c>
      <c r="C29" s="1">
        <v>7</v>
      </c>
      <c r="D29" s="1">
        <v>3</v>
      </c>
      <c r="E29" s="3"/>
      <c r="F29" s="3"/>
      <c r="G29" s="28">
        <f t="shared" si="0"/>
        <v>3</v>
      </c>
      <c r="H29" s="26">
        <v>3</v>
      </c>
      <c r="I29" s="28"/>
      <c r="J29" s="1">
        <v>1</v>
      </c>
      <c r="K29" s="1">
        <v>-7</v>
      </c>
      <c r="L29" s="1">
        <f>H29+J29+K29</f>
        <v>-3</v>
      </c>
      <c r="M29" s="1">
        <v>0</v>
      </c>
      <c r="N29" s="1">
        <v>1</v>
      </c>
      <c r="O29" s="1">
        <v>-1</v>
      </c>
      <c r="P29" s="1">
        <f t="shared" si="1"/>
        <v>0</v>
      </c>
      <c r="Q29" s="1">
        <v>0</v>
      </c>
      <c r="R29" s="1">
        <v>1</v>
      </c>
      <c r="S29" s="3">
        <v>-4</v>
      </c>
      <c r="T29" s="1">
        <f t="shared" si="2"/>
        <v>-3</v>
      </c>
      <c r="U29" s="1">
        <v>0</v>
      </c>
      <c r="V29" s="1">
        <v>1</v>
      </c>
      <c r="W29" s="1"/>
      <c r="X29" s="1">
        <f t="shared" si="3"/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1">
        <v>8</v>
      </c>
      <c r="AI29" s="3"/>
    </row>
    <row r="30" spans="1:35" ht="18.75" customHeight="1" x14ac:dyDescent="0.25">
      <c r="A30" s="1">
        <v>27</v>
      </c>
      <c r="B30" s="3" t="s">
        <v>114</v>
      </c>
      <c r="C30" s="1">
        <v>7</v>
      </c>
      <c r="D30" s="1">
        <v>7</v>
      </c>
      <c r="E30" s="3">
        <v>2</v>
      </c>
      <c r="F30" s="3"/>
      <c r="G30" s="28">
        <f t="shared" si="0"/>
        <v>5</v>
      </c>
      <c r="H30" s="26">
        <v>5</v>
      </c>
      <c r="I30" s="28"/>
      <c r="J30" s="1">
        <v>1</v>
      </c>
      <c r="K30" s="1"/>
      <c r="L30" s="1">
        <f>H30+J30+K30</f>
        <v>6</v>
      </c>
      <c r="M30" s="1">
        <v>6</v>
      </c>
      <c r="N30" s="1">
        <v>1</v>
      </c>
      <c r="O30" s="1"/>
      <c r="P30" s="1">
        <f t="shared" si="1"/>
        <v>7</v>
      </c>
      <c r="Q30" s="1">
        <v>7</v>
      </c>
      <c r="R30" s="1">
        <v>1</v>
      </c>
      <c r="S30" s="3"/>
      <c r="T30" s="1">
        <f t="shared" si="2"/>
        <v>8</v>
      </c>
      <c r="U30" s="1">
        <v>8</v>
      </c>
      <c r="V30" s="1">
        <v>1</v>
      </c>
      <c r="W30" s="1"/>
      <c r="X30" s="1">
        <f t="shared" si="3"/>
        <v>9</v>
      </c>
      <c r="Y30" s="3"/>
      <c r="Z30" s="3"/>
      <c r="AA30" s="3"/>
      <c r="AB30" s="3"/>
      <c r="AC30" s="3"/>
      <c r="AD30" s="3"/>
      <c r="AE30" s="3"/>
      <c r="AF30" s="3"/>
      <c r="AG30" s="3"/>
      <c r="AH30" s="1">
        <v>8</v>
      </c>
      <c r="AI30" s="3"/>
    </row>
    <row r="31" spans="1:35" ht="18.75" customHeight="1" x14ac:dyDescent="0.25">
      <c r="A31" s="1">
        <v>28</v>
      </c>
      <c r="B31" s="3" t="s">
        <v>115</v>
      </c>
      <c r="C31" s="1">
        <v>14</v>
      </c>
      <c r="D31" s="1">
        <v>3</v>
      </c>
      <c r="E31" s="3"/>
      <c r="F31" s="3"/>
      <c r="G31" s="28">
        <f t="shared" si="0"/>
        <v>3</v>
      </c>
      <c r="H31" s="26">
        <v>3</v>
      </c>
      <c r="I31" s="28"/>
      <c r="J31" s="1">
        <v>1</v>
      </c>
      <c r="K31" s="1">
        <v>-3</v>
      </c>
      <c r="L31" s="1">
        <f t="shared" ref="L31:L32" si="9">H31+J31+K31</f>
        <v>1</v>
      </c>
      <c r="M31" s="1">
        <v>1</v>
      </c>
      <c r="N31" s="1">
        <v>1</v>
      </c>
      <c r="O31" s="1"/>
      <c r="P31" s="1">
        <f t="shared" si="1"/>
        <v>2</v>
      </c>
      <c r="Q31" s="1">
        <v>2</v>
      </c>
      <c r="R31" s="1">
        <v>1</v>
      </c>
      <c r="S31" s="3"/>
      <c r="T31" s="1">
        <f t="shared" si="2"/>
        <v>3</v>
      </c>
      <c r="U31" s="1">
        <v>3</v>
      </c>
      <c r="V31" s="1">
        <v>1</v>
      </c>
      <c r="W31" s="1"/>
      <c r="X31" s="1">
        <f t="shared" si="3"/>
        <v>4</v>
      </c>
      <c r="Y31" s="3"/>
      <c r="Z31" s="3"/>
      <c r="AA31" s="3"/>
      <c r="AB31" s="3"/>
      <c r="AC31" s="3"/>
      <c r="AD31" s="3"/>
      <c r="AE31" s="3"/>
      <c r="AF31" s="3"/>
      <c r="AG31" s="3"/>
      <c r="AH31" s="1">
        <v>14</v>
      </c>
      <c r="AI31" s="3"/>
    </row>
    <row r="32" spans="1:35" ht="18.75" customHeight="1" x14ac:dyDescent="0.25">
      <c r="A32" s="1">
        <v>29</v>
      </c>
      <c r="B32" s="3" t="s">
        <v>116</v>
      </c>
      <c r="C32" s="1">
        <v>16</v>
      </c>
      <c r="D32" s="1">
        <v>9</v>
      </c>
      <c r="E32" s="3"/>
      <c r="F32" s="3"/>
      <c r="G32" s="28">
        <f t="shared" si="0"/>
        <v>9</v>
      </c>
      <c r="H32" s="26">
        <v>9</v>
      </c>
      <c r="I32" s="28"/>
      <c r="J32" s="1">
        <v>1</v>
      </c>
      <c r="K32" s="1"/>
      <c r="L32" s="1">
        <f t="shared" si="9"/>
        <v>10</v>
      </c>
      <c r="M32" s="1">
        <v>10</v>
      </c>
      <c r="N32" s="1">
        <v>1</v>
      </c>
      <c r="O32" s="1">
        <v>-7.5</v>
      </c>
      <c r="P32" s="1">
        <f t="shared" si="1"/>
        <v>3.5</v>
      </c>
      <c r="Q32" s="1">
        <v>3.5</v>
      </c>
      <c r="R32" s="1">
        <v>1</v>
      </c>
      <c r="S32" s="3"/>
      <c r="T32" s="1">
        <f t="shared" si="2"/>
        <v>4.5</v>
      </c>
      <c r="U32" s="1">
        <v>4.5</v>
      </c>
      <c r="V32" s="1">
        <v>1</v>
      </c>
      <c r="W32" s="1">
        <v>5</v>
      </c>
      <c r="X32" s="1">
        <f t="shared" si="3"/>
        <v>0.5</v>
      </c>
      <c r="Y32" s="3"/>
      <c r="Z32" s="3"/>
      <c r="AA32" s="3"/>
      <c r="AB32" s="3"/>
      <c r="AC32" s="3"/>
      <c r="AD32" s="3"/>
      <c r="AE32" s="3"/>
      <c r="AF32" s="3"/>
      <c r="AG32" s="3"/>
      <c r="AH32" s="1">
        <v>16</v>
      </c>
      <c r="AI32" s="3"/>
    </row>
    <row r="33" spans="1:36" ht="18.75" customHeight="1" x14ac:dyDescent="0.25">
      <c r="A33" s="1">
        <v>30</v>
      </c>
      <c r="B33" s="3" t="s">
        <v>117</v>
      </c>
      <c r="C33" s="1">
        <v>10</v>
      </c>
      <c r="D33" s="1">
        <v>3</v>
      </c>
      <c r="E33" s="3"/>
      <c r="F33" s="3"/>
      <c r="G33" s="28">
        <f t="shared" si="0"/>
        <v>3</v>
      </c>
      <c r="H33" s="26">
        <v>3</v>
      </c>
      <c r="I33" s="28"/>
      <c r="J33" s="1">
        <v>1</v>
      </c>
      <c r="K33" s="1"/>
      <c r="L33" s="1">
        <f>H33+J33+K33</f>
        <v>4</v>
      </c>
      <c r="M33" s="1">
        <v>4</v>
      </c>
      <c r="N33" s="1">
        <v>1</v>
      </c>
      <c r="O33" s="1"/>
      <c r="P33" s="1">
        <f t="shared" si="1"/>
        <v>5</v>
      </c>
      <c r="Q33" s="1">
        <v>5</v>
      </c>
      <c r="R33" s="1">
        <v>1</v>
      </c>
      <c r="S33" s="3"/>
      <c r="T33" s="1">
        <f t="shared" si="2"/>
        <v>6</v>
      </c>
      <c r="U33" s="1">
        <v>6</v>
      </c>
      <c r="V33" s="1">
        <v>1</v>
      </c>
      <c r="W33" s="1"/>
      <c r="X33" s="1">
        <f t="shared" si="3"/>
        <v>7</v>
      </c>
      <c r="Y33" s="3"/>
      <c r="Z33" s="3"/>
      <c r="AA33" s="3"/>
      <c r="AB33" s="3"/>
      <c r="AC33" s="3"/>
      <c r="AD33" s="3"/>
      <c r="AE33" s="3"/>
      <c r="AF33" s="3"/>
      <c r="AG33" s="3"/>
      <c r="AH33" s="1">
        <v>10</v>
      </c>
      <c r="AI33" s="3"/>
    </row>
    <row r="34" spans="1:36" ht="18.75" customHeight="1" x14ac:dyDescent="0.25">
      <c r="A34" s="1">
        <v>31</v>
      </c>
      <c r="B34" s="3" t="s">
        <v>118</v>
      </c>
      <c r="C34" s="1">
        <v>14</v>
      </c>
      <c r="D34" s="1">
        <v>2</v>
      </c>
      <c r="E34" s="3"/>
      <c r="F34" s="3"/>
      <c r="G34" s="28">
        <f t="shared" si="0"/>
        <v>2</v>
      </c>
      <c r="H34" s="26">
        <v>2</v>
      </c>
      <c r="I34" s="28"/>
      <c r="J34" s="1">
        <v>1</v>
      </c>
      <c r="K34" s="1"/>
      <c r="L34" s="1">
        <f t="shared" ref="L34:L35" si="10">H34+J34+K34</f>
        <v>3</v>
      </c>
      <c r="M34" s="1">
        <v>3</v>
      </c>
      <c r="N34" s="1">
        <v>1</v>
      </c>
      <c r="O34" s="1"/>
      <c r="P34" s="1">
        <f t="shared" si="1"/>
        <v>4</v>
      </c>
      <c r="Q34" s="1">
        <v>4</v>
      </c>
      <c r="R34" s="1">
        <v>1</v>
      </c>
      <c r="S34" s="3"/>
      <c r="T34" s="1">
        <f t="shared" si="2"/>
        <v>5</v>
      </c>
      <c r="U34" s="1">
        <v>5</v>
      </c>
      <c r="V34" s="1">
        <v>1</v>
      </c>
      <c r="W34" s="1">
        <v>1</v>
      </c>
      <c r="X34" s="1">
        <f t="shared" si="3"/>
        <v>5</v>
      </c>
      <c r="Y34" s="3"/>
      <c r="Z34" s="3"/>
      <c r="AA34" s="3"/>
      <c r="AB34" s="3"/>
      <c r="AC34" s="3"/>
      <c r="AD34" s="3"/>
      <c r="AE34" s="3"/>
      <c r="AF34" s="3"/>
      <c r="AG34" s="3"/>
      <c r="AH34" s="1">
        <v>14</v>
      </c>
      <c r="AI34" s="3"/>
    </row>
    <row r="35" spans="1:36" ht="18.75" customHeight="1" x14ac:dyDescent="0.25">
      <c r="A35" s="1">
        <v>32</v>
      </c>
      <c r="B35" s="3" t="s">
        <v>82</v>
      </c>
      <c r="C35" s="3"/>
      <c r="D35" s="3"/>
      <c r="E35" s="3"/>
      <c r="F35" s="3"/>
      <c r="G35" s="28">
        <f t="shared" si="0"/>
        <v>0</v>
      </c>
      <c r="H35" s="1"/>
      <c r="I35" s="28"/>
      <c r="J35" s="1">
        <v>1</v>
      </c>
      <c r="K35" s="1"/>
      <c r="L35" s="1">
        <f t="shared" si="10"/>
        <v>1</v>
      </c>
      <c r="M35" s="1">
        <v>1</v>
      </c>
      <c r="N35" s="1">
        <v>1</v>
      </c>
      <c r="O35" s="1"/>
      <c r="P35" s="1">
        <f t="shared" si="1"/>
        <v>2</v>
      </c>
      <c r="Q35" s="1">
        <v>2</v>
      </c>
      <c r="R35" s="1">
        <v>1</v>
      </c>
      <c r="S35" s="3"/>
      <c r="T35" s="1">
        <f t="shared" si="2"/>
        <v>3</v>
      </c>
      <c r="U35" s="1">
        <v>3</v>
      </c>
      <c r="V35" s="1">
        <v>1</v>
      </c>
      <c r="W35" s="1">
        <v>1</v>
      </c>
      <c r="X35" s="1">
        <f t="shared" si="3"/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1">
        <v>7</v>
      </c>
      <c r="AI35" s="3"/>
    </row>
    <row r="36" spans="1:36" ht="18.75" customHeight="1" x14ac:dyDescent="0.25">
      <c r="A36" s="1">
        <v>33</v>
      </c>
      <c r="B36" s="3" t="s">
        <v>141</v>
      </c>
      <c r="C36" s="3"/>
      <c r="D36" s="3"/>
      <c r="E36" s="3"/>
      <c r="F36" s="3"/>
      <c r="G36" s="28">
        <f t="shared" si="0"/>
        <v>0</v>
      </c>
      <c r="H36" s="1"/>
      <c r="I36" s="28"/>
      <c r="J36" s="1">
        <v>1</v>
      </c>
      <c r="K36" s="1"/>
      <c r="L36" s="1">
        <f>H36+J36+K36</f>
        <v>1</v>
      </c>
      <c r="M36" s="1">
        <v>1</v>
      </c>
      <c r="N36" s="1">
        <v>1</v>
      </c>
      <c r="O36" s="1"/>
      <c r="P36" s="1">
        <f t="shared" si="1"/>
        <v>2</v>
      </c>
      <c r="Q36" s="1">
        <v>2</v>
      </c>
      <c r="R36" s="1">
        <v>1</v>
      </c>
      <c r="S36" s="3"/>
      <c r="T36" s="1">
        <f t="shared" si="2"/>
        <v>3</v>
      </c>
      <c r="U36" s="1">
        <v>3</v>
      </c>
      <c r="V36" s="1">
        <v>1</v>
      </c>
      <c r="W36" s="1"/>
      <c r="X36" s="1">
        <f t="shared" si="3"/>
        <v>4</v>
      </c>
      <c r="Y36" s="3"/>
      <c r="Z36" s="3"/>
      <c r="AA36" s="3"/>
      <c r="AB36" s="3"/>
      <c r="AC36" s="3"/>
      <c r="AD36" s="3"/>
      <c r="AE36" s="3"/>
      <c r="AF36" s="3"/>
      <c r="AG36" s="3"/>
      <c r="AH36" s="1">
        <v>7</v>
      </c>
      <c r="AI36" s="3"/>
    </row>
    <row r="37" spans="1:36" ht="18.75" customHeight="1" x14ac:dyDescent="0.25">
      <c r="A37" s="1">
        <v>34</v>
      </c>
      <c r="B37" s="3" t="s">
        <v>142</v>
      </c>
      <c r="C37" s="3"/>
      <c r="D37" s="3"/>
      <c r="E37" s="3"/>
      <c r="F37" s="3"/>
      <c r="G37" s="16"/>
      <c r="H37" s="3"/>
      <c r="I37" s="16"/>
      <c r="J37" s="1"/>
      <c r="K37" s="1"/>
      <c r="L37" s="1"/>
      <c r="M37" s="1"/>
      <c r="N37" s="1"/>
      <c r="O37" s="1"/>
      <c r="P37" s="1"/>
      <c r="Q37" s="1"/>
      <c r="R37" s="3"/>
      <c r="S37" s="3"/>
      <c r="T37" s="1">
        <f t="shared" si="2"/>
        <v>0</v>
      </c>
      <c r="U37" s="1">
        <v>0</v>
      </c>
      <c r="V37" s="1">
        <v>1</v>
      </c>
      <c r="W37" s="1"/>
      <c r="X37" s="1">
        <f t="shared" si="3"/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1">
        <v>7</v>
      </c>
      <c r="AI37" s="3"/>
    </row>
    <row r="38" spans="1:36" ht="18.75" customHeight="1" x14ac:dyDescent="0.25">
      <c r="A38" s="1">
        <v>35</v>
      </c>
      <c r="B38" s="3" t="s">
        <v>143</v>
      </c>
      <c r="C38" s="3"/>
      <c r="D38" s="3"/>
      <c r="E38" s="3"/>
      <c r="F38" s="3"/>
      <c r="G38" s="16"/>
      <c r="H38" s="3"/>
      <c r="I38" s="16"/>
      <c r="J38" s="1"/>
      <c r="K38" s="1"/>
      <c r="L38" s="1"/>
      <c r="M38" s="1"/>
      <c r="N38" s="1"/>
      <c r="O38" s="1"/>
      <c r="P38" s="1"/>
      <c r="Q38" s="3"/>
      <c r="R38" s="3"/>
      <c r="S38" s="3"/>
      <c r="T38" s="1">
        <f t="shared" si="2"/>
        <v>0</v>
      </c>
      <c r="U38" s="1">
        <v>0</v>
      </c>
      <c r="V38" s="1">
        <v>1</v>
      </c>
      <c r="W38" s="1"/>
      <c r="X38" s="1">
        <f t="shared" si="3"/>
        <v>1</v>
      </c>
      <c r="Y38" s="3"/>
      <c r="Z38" s="3"/>
      <c r="AA38" s="3"/>
      <c r="AB38" s="3"/>
      <c r="AC38" s="3"/>
      <c r="AD38" s="3"/>
      <c r="AE38" s="3"/>
      <c r="AF38" s="3"/>
      <c r="AG38" s="3"/>
      <c r="AH38" s="1">
        <v>7</v>
      </c>
      <c r="AI38" s="3"/>
    </row>
    <row r="39" spans="1:36" ht="18.75" customHeight="1" x14ac:dyDescent="0.25">
      <c r="A39" s="1">
        <v>36</v>
      </c>
      <c r="B39" s="3" t="s">
        <v>144</v>
      </c>
      <c r="C39" s="3"/>
      <c r="D39" s="3"/>
      <c r="E39" s="3"/>
      <c r="F39" s="3"/>
      <c r="G39" s="16"/>
      <c r="H39" s="3"/>
      <c r="I39" s="16"/>
      <c r="J39" s="3"/>
      <c r="K39" s="3"/>
      <c r="L39" s="3"/>
      <c r="M39" s="3"/>
      <c r="N39" s="3"/>
      <c r="O39" s="3"/>
      <c r="P39" s="3"/>
      <c r="Q39" s="3"/>
      <c r="R39" s="3"/>
      <c r="S39" s="3"/>
      <c r="T39" s="1">
        <f t="shared" si="2"/>
        <v>0</v>
      </c>
      <c r="U39" s="1">
        <v>0</v>
      </c>
      <c r="V39" s="1">
        <v>1</v>
      </c>
      <c r="W39" s="1"/>
      <c r="X39" s="1">
        <f t="shared" si="3"/>
        <v>1</v>
      </c>
      <c r="Y39" s="3"/>
      <c r="Z39" s="3"/>
      <c r="AA39" s="3"/>
      <c r="AB39" s="3"/>
      <c r="AC39" s="3"/>
      <c r="AD39" s="3"/>
      <c r="AE39" s="3"/>
      <c r="AF39" s="3"/>
      <c r="AG39" s="3"/>
      <c r="AH39" s="1">
        <v>7</v>
      </c>
      <c r="AI39" s="3"/>
    </row>
    <row r="40" spans="1:36" ht="18.75" customHeight="1" x14ac:dyDescent="0.25">
      <c r="A40" s="1">
        <v>37</v>
      </c>
      <c r="B40" s="3" t="s">
        <v>145</v>
      </c>
      <c r="C40" s="3"/>
      <c r="D40" s="3"/>
      <c r="E40" s="3"/>
      <c r="F40" s="3"/>
      <c r="G40" s="16"/>
      <c r="H40" s="3"/>
      <c r="I40" s="16"/>
      <c r="J40" s="3"/>
      <c r="K40" s="3"/>
      <c r="L40" s="3"/>
      <c r="M40" s="3"/>
      <c r="N40" s="3"/>
      <c r="O40" s="3"/>
      <c r="P40" s="3"/>
      <c r="Q40" s="3"/>
      <c r="R40" s="3"/>
      <c r="S40" s="3"/>
      <c r="T40" s="1">
        <f t="shared" si="2"/>
        <v>0</v>
      </c>
      <c r="U40" s="1">
        <v>0</v>
      </c>
      <c r="V40" s="1">
        <v>1</v>
      </c>
      <c r="W40" s="1">
        <v>1</v>
      </c>
      <c r="X40" s="1">
        <f t="shared" si="3"/>
        <v>0</v>
      </c>
      <c r="Y40" s="3"/>
      <c r="Z40" s="3"/>
      <c r="AA40" s="3"/>
      <c r="AB40" s="3"/>
      <c r="AC40" s="3"/>
      <c r="AD40" s="3"/>
      <c r="AE40" s="3"/>
      <c r="AF40" s="3"/>
      <c r="AG40" s="3"/>
      <c r="AH40" s="1">
        <v>7</v>
      </c>
      <c r="AI40" s="3"/>
    </row>
    <row r="41" spans="1:36" ht="18.75" customHeight="1" x14ac:dyDescent="0.25">
      <c r="A41" s="1">
        <v>38</v>
      </c>
      <c r="B41" s="3" t="s">
        <v>146</v>
      </c>
      <c r="C41" s="3"/>
      <c r="D41" s="3"/>
      <c r="E41" s="3"/>
      <c r="F41" s="3"/>
      <c r="G41" s="16"/>
      <c r="H41" s="3"/>
      <c r="I41" s="16"/>
      <c r="J41" s="3"/>
      <c r="K41" s="3"/>
      <c r="L41" s="3"/>
      <c r="M41" s="3"/>
      <c r="N41" s="3"/>
      <c r="O41" s="3"/>
      <c r="P41" s="3"/>
      <c r="Q41" s="3"/>
      <c r="R41" s="3"/>
      <c r="S41" s="3"/>
      <c r="T41" s="1">
        <f t="shared" si="2"/>
        <v>0</v>
      </c>
      <c r="U41" s="1">
        <v>0</v>
      </c>
      <c r="V41" s="1">
        <v>1</v>
      </c>
      <c r="W41" s="1"/>
      <c r="X41" s="1">
        <f t="shared" si="3"/>
        <v>1</v>
      </c>
      <c r="Y41" s="3"/>
      <c r="Z41" s="3"/>
      <c r="AA41" s="3"/>
      <c r="AB41" s="3"/>
      <c r="AC41" s="3"/>
      <c r="AD41" s="3"/>
      <c r="AE41" s="3"/>
      <c r="AF41" s="3"/>
      <c r="AG41" s="3"/>
      <c r="AH41" s="1">
        <v>7</v>
      </c>
      <c r="AI41" s="3"/>
    </row>
    <row r="42" spans="1:36" ht="18.75" customHeight="1" x14ac:dyDescent="0.25">
      <c r="A42" s="1">
        <v>39</v>
      </c>
      <c r="B42" s="3" t="s">
        <v>147</v>
      </c>
      <c r="C42" s="3"/>
      <c r="D42" s="3"/>
      <c r="E42" s="3"/>
      <c r="F42" s="3"/>
      <c r="G42" s="16"/>
      <c r="H42" s="3"/>
      <c r="I42" s="16"/>
      <c r="J42" s="3"/>
      <c r="K42" s="3"/>
      <c r="L42" s="3"/>
      <c r="M42" s="3"/>
      <c r="N42" s="3"/>
      <c r="O42" s="3"/>
      <c r="P42" s="3"/>
      <c r="Q42" s="3"/>
      <c r="R42" s="3"/>
      <c r="S42" s="3"/>
      <c r="T42" s="1">
        <f t="shared" si="2"/>
        <v>0</v>
      </c>
      <c r="U42" s="1">
        <v>0</v>
      </c>
      <c r="V42" s="1">
        <v>1</v>
      </c>
      <c r="W42" s="1"/>
      <c r="X42" s="1">
        <f t="shared" si="3"/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1">
        <v>7</v>
      </c>
      <c r="AI42" s="3"/>
    </row>
    <row r="43" spans="1:36" ht="18.75" customHeight="1" x14ac:dyDescent="0.25">
      <c r="A43" s="1">
        <v>40</v>
      </c>
      <c r="B43" s="3" t="s">
        <v>174</v>
      </c>
      <c r="C43" s="3"/>
      <c r="D43" s="3"/>
      <c r="E43" s="3"/>
      <c r="F43" s="3"/>
      <c r="G43" s="16"/>
      <c r="H43" s="3"/>
      <c r="I43" s="16"/>
      <c r="J43" s="3"/>
      <c r="K43" s="3"/>
      <c r="L43" s="3"/>
      <c r="M43" s="3"/>
      <c r="N43" s="3"/>
      <c r="O43" s="3"/>
      <c r="P43" s="3"/>
      <c r="Q43" s="3"/>
      <c r="R43" s="3"/>
      <c r="S43" s="3"/>
      <c r="T43" s="3">
        <v>0</v>
      </c>
      <c r="U43" s="3">
        <v>0</v>
      </c>
      <c r="V43" s="3">
        <v>0</v>
      </c>
      <c r="W43" s="1">
        <v>1</v>
      </c>
      <c r="X43" s="1">
        <f t="shared" si="3"/>
        <v>-1</v>
      </c>
      <c r="Y43" s="3"/>
      <c r="Z43" s="3"/>
      <c r="AA43" s="3"/>
      <c r="AB43" s="3"/>
      <c r="AC43" s="3"/>
      <c r="AD43" s="3"/>
      <c r="AE43" s="3"/>
      <c r="AF43" s="3"/>
      <c r="AG43" s="3"/>
      <c r="AH43" s="1"/>
      <c r="AI43" s="3"/>
    </row>
    <row r="46" spans="1:36" s="34" customFormat="1" ht="18.75" customHeight="1" x14ac:dyDescent="0.25">
      <c r="A46" s="26">
        <v>16</v>
      </c>
      <c r="B46" s="33" t="s">
        <v>105</v>
      </c>
      <c r="C46" s="26">
        <v>7</v>
      </c>
      <c r="D46" s="26">
        <v>7</v>
      </c>
      <c r="E46" s="33"/>
      <c r="F46" s="33"/>
      <c r="G46" s="26">
        <f>D46-E46-F46</f>
        <v>7</v>
      </c>
      <c r="H46" s="26">
        <v>7</v>
      </c>
      <c r="I46" s="26"/>
      <c r="J46" s="26">
        <v>1</v>
      </c>
      <c r="K46" s="26"/>
      <c r="L46" s="26">
        <f>H46+J46+K46</f>
        <v>8</v>
      </c>
      <c r="M46" s="26">
        <v>8</v>
      </c>
      <c r="N46" s="26">
        <v>1</v>
      </c>
      <c r="O46" s="26">
        <v>-9</v>
      </c>
      <c r="P46" s="26">
        <f>M46+N46+O46</f>
        <v>0</v>
      </c>
      <c r="Q46" s="26">
        <v>0</v>
      </c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  <c r="AH46" s="26">
        <v>8</v>
      </c>
      <c r="AI46" s="33"/>
      <c r="AJ46" s="35" t="s">
        <v>161</v>
      </c>
    </row>
    <row r="47" spans="1:36" s="34" customFormat="1" ht="18.75" customHeight="1" x14ac:dyDescent="0.25">
      <c r="A47" s="26">
        <v>17</v>
      </c>
      <c r="B47" s="33" t="s">
        <v>106</v>
      </c>
      <c r="C47" s="26">
        <v>16</v>
      </c>
      <c r="D47" s="26">
        <v>5</v>
      </c>
      <c r="E47" s="33"/>
      <c r="F47" s="33"/>
      <c r="G47" s="26">
        <f>D47-E47-F47</f>
        <v>5</v>
      </c>
      <c r="H47" s="26">
        <v>5</v>
      </c>
      <c r="I47" s="26"/>
      <c r="J47" s="26">
        <v>1</v>
      </c>
      <c r="K47" s="26"/>
      <c r="L47" s="26">
        <f>H47+J47+K47</f>
        <v>6</v>
      </c>
      <c r="M47" s="26">
        <v>6</v>
      </c>
      <c r="N47" s="26">
        <v>1</v>
      </c>
      <c r="O47" s="26">
        <v>-8</v>
      </c>
      <c r="P47" s="26">
        <f>M47+N47+O47</f>
        <v>-1</v>
      </c>
      <c r="Q47" s="26">
        <v>0</v>
      </c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  <c r="AH47" s="26">
        <v>16</v>
      </c>
      <c r="AI47" s="33"/>
      <c r="AJ47" s="35" t="s">
        <v>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2CA5-51B6-45FC-9A8D-3B19A67ED817}">
  <dimension ref="A1:H20"/>
  <sheetViews>
    <sheetView workbookViewId="0">
      <selection activeCell="G6" sqref="G6"/>
    </sheetView>
  </sheetViews>
  <sheetFormatPr defaultRowHeight="15" x14ac:dyDescent="0.25"/>
  <cols>
    <col min="4" max="4" width="9.42578125" bestFit="1" customWidth="1"/>
    <col min="6" max="6" width="19.140625" customWidth="1"/>
    <col min="7" max="7" width="16.85546875" customWidth="1"/>
  </cols>
  <sheetData>
    <row r="1" spans="1:8" s="4" customFormat="1" ht="19.5" x14ac:dyDescent="0.3"/>
    <row r="2" spans="1:8" s="4" customFormat="1" ht="19.5" x14ac:dyDescent="0.3">
      <c r="B2" s="75" t="s">
        <v>183</v>
      </c>
      <c r="C2" s="75"/>
      <c r="D2" s="75"/>
      <c r="E2" s="75"/>
      <c r="F2" s="75"/>
      <c r="G2" s="75"/>
      <c r="H2" s="75"/>
    </row>
    <row r="3" spans="1:8" x14ac:dyDescent="0.25">
      <c r="A3" s="3" t="s">
        <v>120</v>
      </c>
      <c r="B3" s="90" t="s">
        <v>3</v>
      </c>
      <c r="C3" s="90"/>
      <c r="D3" s="90"/>
      <c r="E3" s="90" t="s">
        <v>54</v>
      </c>
      <c r="F3" s="90"/>
      <c r="G3" s="3" t="s">
        <v>55</v>
      </c>
      <c r="H3" s="1" t="s">
        <v>4</v>
      </c>
    </row>
    <row r="4" spans="1:8" x14ac:dyDescent="0.25">
      <c r="A4" s="3">
        <v>1</v>
      </c>
      <c r="B4" s="113" t="s">
        <v>194</v>
      </c>
      <c r="C4" s="114"/>
      <c r="D4" s="115"/>
      <c r="E4" s="116">
        <v>46157</v>
      </c>
      <c r="F4" s="117"/>
      <c r="G4" s="3"/>
      <c r="H4" s="1">
        <v>1</v>
      </c>
    </row>
    <row r="5" spans="1:8" x14ac:dyDescent="0.25">
      <c r="A5" s="3">
        <v>2</v>
      </c>
      <c r="B5" s="113" t="s">
        <v>201</v>
      </c>
      <c r="C5" s="114"/>
      <c r="D5" s="115"/>
      <c r="E5" s="116">
        <v>46146</v>
      </c>
      <c r="F5" s="117"/>
      <c r="G5" s="58">
        <v>46150</v>
      </c>
      <c r="H5" s="1">
        <v>5</v>
      </c>
    </row>
    <row r="6" spans="1:8" x14ac:dyDescent="0.25">
      <c r="A6" s="3">
        <v>3</v>
      </c>
      <c r="B6" s="95"/>
      <c r="C6" s="96"/>
      <c r="D6" s="97"/>
      <c r="E6" s="116"/>
      <c r="F6" s="117"/>
      <c r="G6" s="3"/>
      <c r="H6" s="1"/>
    </row>
    <row r="7" spans="1:8" x14ac:dyDescent="0.25">
      <c r="A7" s="3">
        <v>4</v>
      </c>
      <c r="B7" s="95"/>
      <c r="C7" s="96"/>
      <c r="D7" s="97"/>
      <c r="E7" s="116"/>
      <c r="F7" s="117"/>
      <c r="G7" s="3"/>
      <c r="H7" s="1"/>
    </row>
    <row r="8" spans="1:8" x14ac:dyDescent="0.25">
      <c r="A8" s="3">
        <v>5</v>
      </c>
      <c r="B8" s="95"/>
      <c r="C8" s="96"/>
      <c r="D8" s="97"/>
      <c r="E8" s="116"/>
      <c r="F8" s="117"/>
      <c r="G8" s="3"/>
      <c r="H8" s="1"/>
    </row>
    <row r="9" spans="1:8" x14ac:dyDescent="0.25">
      <c r="A9" s="3">
        <v>6</v>
      </c>
      <c r="B9" s="48"/>
      <c r="C9" s="49"/>
      <c r="D9" s="50"/>
      <c r="E9" s="116"/>
      <c r="F9" s="118"/>
      <c r="G9" s="3"/>
      <c r="H9" s="1"/>
    </row>
    <row r="10" spans="1:8" s="17" customFormat="1" x14ac:dyDescent="0.25">
      <c r="A10" s="3">
        <v>7</v>
      </c>
      <c r="B10" s="105"/>
      <c r="C10" s="105"/>
      <c r="D10" s="105"/>
      <c r="E10" s="93"/>
      <c r="F10" s="94"/>
      <c r="G10" s="15"/>
      <c r="H10" s="28"/>
    </row>
    <row r="11" spans="1:8" s="17" customFormat="1" x14ac:dyDescent="0.25">
      <c r="A11" s="3">
        <v>8</v>
      </c>
      <c r="B11" s="105"/>
      <c r="C11" s="105"/>
      <c r="D11" s="105"/>
      <c r="E11" s="93"/>
      <c r="F11" s="94"/>
      <c r="G11" s="15"/>
      <c r="H11" s="28"/>
    </row>
    <row r="12" spans="1:8" s="17" customFormat="1" x14ac:dyDescent="0.25">
      <c r="A12" s="3">
        <v>9</v>
      </c>
      <c r="B12" s="95"/>
      <c r="C12" s="96"/>
      <c r="D12" s="97"/>
      <c r="E12" s="93"/>
      <c r="F12" s="94"/>
      <c r="G12" s="15"/>
      <c r="H12" s="28"/>
    </row>
    <row r="13" spans="1:8" s="17" customFormat="1" x14ac:dyDescent="0.25">
      <c r="A13" s="3">
        <v>10</v>
      </c>
      <c r="B13" s="95"/>
      <c r="C13" s="96"/>
      <c r="D13" s="97"/>
      <c r="E13" s="93"/>
      <c r="F13" s="94"/>
      <c r="G13" s="15"/>
      <c r="H13" s="28"/>
    </row>
    <row r="14" spans="1:8" s="17" customFormat="1" x14ac:dyDescent="0.25">
      <c r="A14" s="3">
        <v>11</v>
      </c>
      <c r="B14" s="95"/>
      <c r="C14" s="96"/>
      <c r="D14" s="97"/>
      <c r="E14" s="93"/>
      <c r="F14" s="94"/>
      <c r="G14" s="15"/>
      <c r="H14" s="28"/>
    </row>
    <row r="15" spans="1:8" s="17" customFormat="1" x14ac:dyDescent="0.25">
      <c r="A15" s="3">
        <v>12</v>
      </c>
      <c r="B15" s="95"/>
      <c r="C15" s="96"/>
      <c r="D15" s="97"/>
      <c r="E15" s="93"/>
      <c r="F15" s="94"/>
      <c r="G15" s="15"/>
      <c r="H15" s="28"/>
    </row>
    <row r="16" spans="1:8" s="17" customFormat="1" x14ac:dyDescent="0.25">
      <c r="A16" s="3">
        <v>13</v>
      </c>
      <c r="B16" s="95"/>
      <c r="C16" s="96"/>
      <c r="D16" s="97"/>
      <c r="E16" s="93"/>
      <c r="F16" s="94"/>
      <c r="G16" s="15"/>
      <c r="H16" s="28"/>
    </row>
    <row r="17" spans="1:8" s="17" customFormat="1" x14ac:dyDescent="0.25">
      <c r="A17" s="3">
        <v>14</v>
      </c>
      <c r="B17" s="95"/>
      <c r="C17" s="96"/>
      <c r="D17" s="97"/>
      <c r="E17" s="93"/>
      <c r="F17" s="94"/>
      <c r="G17" s="15"/>
      <c r="H17" s="28"/>
    </row>
    <row r="18" spans="1:8" x14ac:dyDescent="0.25">
      <c r="A18" s="3">
        <v>15</v>
      </c>
      <c r="B18" s="95"/>
      <c r="C18" s="96"/>
      <c r="D18" s="97"/>
      <c r="E18" s="99"/>
      <c r="F18" s="99"/>
      <c r="G18" s="15"/>
      <c r="H18" s="28"/>
    </row>
    <row r="19" spans="1:8" x14ac:dyDescent="0.25">
      <c r="A19" s="3"/>
      <c r="B19" s="81"/>
      <c r="C19" s="81"/>
      <c r="D19" s="81"/>
      <c r="E19" s="90"/>
      <c r="F19" s="90"/>
      <c r="G19" s="3"/>
      <c r="H19" s="1"/>
    </row>
    <row r="20" spans="1:8" x14ac:dyDescent="0.25">
      <c r="A20" s="3"/>
      <c r="B20" s="81"/>
      <c r="C20" s="81"/>
      <c r="D20" s="81"/>
      <c r="E20" s="90"/>
      <c r="F20" s="90"/>
      <c r="G20" s="3"/>
      <c r="H20" s="1"/>
    </row>
  </sheetData>
  <mergeCells count="36">
    <mergeCell ref="B19:D19"/>
    <mergeCell ref="E19:F19"/>
    <mergeCell ref="B20:D20"/>
    <mergeCell ref="E20:F20"/>
    <mergeCell ref="B16:D16"/>
    <mergeCell ref="E16:F16"/>
    <mergeCell ref="B17:D17"/>
    <mergeCell ref="E17:F17"/>
    <mergeCell ref="B18:D18"/>
    <mergeCell ref="E18:F18"/>
    <mergeCell ref="B13:D13"/>
    <mergeCell ref="E13:F13"/>
    <mergeCell ref="B14:D14"/>
    <mergeCell ref="E14:F14"/>
    <mergeCell ref="B15:D15"/>
    <mergeCell ref="E15:F15"/>
    <mergeCell ref="B12:D12"/>
    <mergeCell ref="E12:F12"/>
    <mergeCell ref="B6:D6"/>
    <mergeCell ref="E6:F6"/>
    <mergeCell ref="B7:D7"/>
    <mergeCell ref="E7:F7"/>
    <mergeCell ref="B8:D8"/>
    <mergeCell ref="E8:F8"/>
    <mergeCell ref="E9:F9"/>
    <mergeCell ref="B10:D10"/>
    <mergeCell ref="E10:F10"/>
    <mergeCell ref="B11:D11"/>
    <mergeCell ref="E11:F11"/>
    <mergeCell ref="B5:D5"/>
    <mergeCell ref="E5:F5"/>
    <mergeCell ref="B2:H2"/>
    <mergeCell ref="B3:D3"/>
    <mergeCell ref="E3:F3"/>
    <mergeCell ref="B4:D4"/>
    <mergeCell ref="E4:F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6180-2FEA-42E6-ABE8-CCBBE6EA6F47}">
  <dimension ref="A1:F13"/>
  <sheetViews>
    <sheetView workbookViewId="0">
      <selection activeCell="C4" sqref="C4:D4"/>
    </sheetView>
  </sheetViews>
  <sheetFormatPr defaultRowHeight="15" x14ac:dyDescent="0.25"/>
  <cols>
    <col min="2" max="2" width="28" customWidth="1"/>
    <col min="4" max="4" width="19.140625" customWidth="1"/>
    <col min="5" max="5" width="16.85546875" customWidth="1"/>
  </cols>
  <sheetData>
    <row r="1" spans="1:6" s="4" customFormat="1" ht="19.5" x14ac:dyDescent="0.3"/>
    <row r="2" spans="1:6" s="4" customFormat="1" ht="19.5" x14ac:dyDescent="0.3">
      <c r="B2" s="75" t="s">
        <v>197</v>
      </c>
      <c r="C2" s="75"/>
      <c r="D2" s="75"/>
      <c r="E2" s="75"/>
      <c r="F2" s="75"/>
    </row>
    <row r="3" spans="1:6" x14ac:dyDescent="0.25">
      <c r="A3" s="1" t="s">
        <v>179</v>
      </c>
      <c r="B3" s="1" t="s">
        <v>3</v>
      </c>
      <c r="C3" s="90" t="s">
        <v>54</v>
      </c>
      <c r="D3" s="90"/>
      <c r="E3" s="3" t="s">
        <v>55</v>
      </c>
      <c r="F3" s="1" t="s">
        <v>4</v>
      </c>
    </row>
    <row r="4" spans="1:6" s="17" customFormat="1" x14ac:dyDescent="0.25">
      <c r="A4" s="28">
        <v>1</v>
      </c>
      <c r="B4" s="52"/>
      <c r="C4" s="93"/>
      <c r="D4" s="94"/>
      <c r="E4" s="15"/>
      <c r="F4" s="28"/>
    </row>
    <row r="5" spans="1:6" s="17" customFormat="1" x14ac:dyDescent="0.25">
      <c r="A5" s="28">
        <v>2</v>
      </c>
      <c r="B5" s="48"/>
      <c r="C5" s="116"/>
      <c r="D5" s="117"/>
      <c r="E5" s="3"/>
      <c r="F5" s="1"/>
    </row>
    <row r="6" spans="1:6" s="17" customFormat="1" x14ac:dyDescent="0.25">
      <c r="A6" s="28">
        <v>3</v>
      </c>
      <c r="B6" s="48"/>
      <c r="C6" s="93"/>
      <c r="D6" s="94"/>
      <c r="E6" s="15"/>
      <c r="F6" s="28"/>
    </row>
    <row r="7" spans="1:6" s="17" customFormat="1" x14ac:dyDescent="0.25">
      <c r="A7" s="28">
        <v>4</v>
      </c>
      <c r="B7" s="48"/>
      <c r="C7" s="93"/>
      <c r="D7" s="94"/>
      <c r="E7" s="15"/>
      <c r="F7" s="28"/>
    </row>
    <row r="8" spans="1:6" s="17" customFormat="1" x14ac:dyDescent="0.25">
      <c r="A8" s="28">
        <v>5</v>
      </c>
      <c r="B8" s="48"/>
      <c r="C8" s="93"/>
      <c r="D8" s="94"/>
      <c r="E8" s="15"/>
      <c r="F8" s="28"/>
    </row>
    <row r="9" spans="1:6" s="17" customFormat="1" x14ac:dyDescent="0.25">
      <c r="A9" s="28">
        <v>6</v>
      </c>
      <c r="B9" s="48"/>
      <c r="C9" s="99"/>
      <c r="D9" s="99"/>
      <c r="E9" s="15"/>
      <c r="F9" s="28"/>
    </row>
    <row r="10" spans="1:6" s="17" customFormat="1" x14ac:dyDescent="0.25">
      <c r="A10" s="28">
        <v>7</v>
      </c>
      <c r="B10" s="48"/>
      <c r="C10" s="93"/>
      <c r="D10" s="94"/>
      <c r="E10" s="15"/>
      <c r="F10" s="28"/>
    </row>
    <row r="11" spans="1:6" x14ac:dyDescent="0.25">
      <c r="A11" s="28">
        <v>8</v>
      </c>
      <c r="B11" s="48"/>
      <c r="C11" s="99"/>
      <c r="D11" s="99"/>
      <c r="E11" s="15"/>
      <c r="F11" s="28"/>
    </row>
    <row r="12" spans="1:6" x14ac:dyDescent="0.25">
      <c r="A12" s="28">
        <v>9</v>
      </c>
      <c r="B12" s="3"/>
      <c r="C12" s="90"/>
      <c r="D12" s="90"/>
      <c r="E12" s="3"/>
      <c r="F12" s="1"/>
    </row>
    <row r="13" spans="1:6" x14ac:dyDescent="0.25">
      <c r="A13" s="1"/>
      <c r="B13" s="3"/>
      <c r="C13" s="90"/>
      <c r="D13" s="90"/>
      <c r="E13" s="3"/>
      <c r="F13" s="1"/>
    </row>
  </sheetData>
  <mergeCells count="12">
    <mergeCell ref="C13:D13"/>
    <mergeCell ref="B2:F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C591-B061-43AB-B6D0-6E0EB5D61492}">
  <dimension ref="B5:G22"/>
  <sheetViews>
    <sheetView topLeftCell="A4" workbookViewId="0">
      <selection activeCell="C19" sqref="C19"/>
    </sheetView>
  </sheetViews>
  <sheetFormatPr defaultRowHeight="15" x14ac:dyDescent="0.25"/>
  <cols>
    <col min="3" max="3" width="40.140625" customWidth="1"/>
    <col min="4" max="4" width="15.42578125" customWidth="1"/>
    <col min="5" max="5" width="14.7109375" customWidth="1"/>
    <col min="6" max="6" width="16.140625" customWidth="1"/>
  </cols>
  <sheetData>
    <row r="5" spans="2:7" ht="23.25" customHeight="1" x14ac:dyDescent="0.25">
      <c r="B5" s="8" t="s">
        <v>179</v>
      </c>
      <c r="C5" s="8" t="s">
        <v>175</v>
      </c>
      <c r="D5" s="8" t="s">
        <v>54</v>
      </c>
      <c r="E5" s="8" t="s">
        <v>55</v>
      </c>
      <c r="F5" s="8" t="s">
        <v>176</v>
      </c>
    </row>
    <row r="6" spans="2:7" ht="20.25" customHeight="1" x14ac:dyDescent="0.25">
      <c r="B6" s="1">
        <v>1</v>
      </c>
      <c r="C6" s="38" t="s">
        <v>177</v>
      </c>
      <c r="D6" s="2">
        <v>46038</v>
      </c>
      <c r="E6" s="2">
        <v>46045</v>
      </c>
      <c r="F6" s="1"/>
    </row>
    <row r="7" spans="2:7" ht="20.25" customHeight="1" x14ac:dyDescent="0.25">
      <c r="B7" s="1">
        <v>2</v>
      </c>
      <c r="C7" s="38" t="s">
        <v>178</v>
      </c>
      <c r="D7" s="2">
        <v>46035</v>
      </c>
      <c r="E7" s="2">
        <v>46043</v>
      </c>
      <c r="F7" s="1"/>
    </row>
    <row r="8" spans="2:7" ht="20.25" customHeight="1" x14ac:dyDescent="0.25">
      <c r="B8" s="1">
        <v>3</v>
      </c>
      <c r="C8" s="38" t="s">
        <v>80</v>
      </c>
      <c r="D8" s="2">
        <v>46038</v>
      </c>
      <c r="E8" s="2">
        <v>46046</v>
      </c>
      <c r="F8" s="1"/>
    </row>
    <row r="9" spans="2:7" ht="20.25" customHeight="1" x14ac:dyDescent="0.25">
      <c r="B9" s="1">
        <v>4</v>
      </c>
      <c r="C9" s="38" t="s">
        <v>75</v>
      </c>
      <c r="D9" s="2">
        <v>46069</v>
      </c>
      <c r="E9" s="2">
        <v>46094</v>
      </c>
      <c r="F9" s="1"/>
    </row>
    <row r="10" spans="2:7" ht="20.25" customHeight="1" x14ac:dyDescent="0.25">
      <c r="B10" s="1">
        <v>5</v>
      </c>
      <c r="C10" s="38" t="s">
        <v>76</v>
      </c>
      <c r="D10" s="2">
        <v>46061</v>
      </c>
      <c r="E10" s="2">
        <v>46075</v>
      </c>
      <c r="F10" s="1"/>
    </row>
    <row r="11" spans="2:7" ht="20.25" customHeight="1" x14ac:dyDescent="0.25">
      <c r="B11" s="1">
        <v>6</v>
      </c>
      <c r="C11" s="38" t="s">
        <v>77</v>
      </c>
      <c r="D11" s="2">
        <v>46065</v>
      </c>
      <c r="E11" s="2">
        <v>46077</v>
      </c>
      <c r="F11" s="1"/>
    </row>
    <row r="12" spans="2:7" ht="20.25" customHeight="1" x14ac:dyDescent="0.25">
      <c r="B12" s="1">
        <v>7</v>
      </c>
      <c r="C12" s="38" t="s">
        <v>86</v>
      </c>
      <c r="D12" s="2">
        <v>46069</v>
      </c>
      <c r="E12" s="2">
        <v>46077</v>
      </c>
      <c r="F12" s="1"/>
    </row>
    <row r="13" spans="2:7" ht="20.25" customHeight="1" x14ac:dyDescent="0.25">
      <c r="B13" s="1">
        <v>8</v>
      </c>
      <c r="C13" s="38" t="s">
        <v>69</v>
      </c>
      <c r="D13" s="2">
        <v>46089</v>
      </c>
      <c r="E13" s="2">
        <v>46150</v>
      </c>
      <c r="F13" s="1"/>
    </row>
    <row r="14" spans="2:7" ht="20.25" customHeight="1" x14ac:dyDescent="0.25">
      <c r="B14" s="1">
        <v>9</v>
      </c>
      <c r="C14" s="38" t="s">
        <v>182</v>
      </c>
      <c r="D14" s="2">
        <v>46134</v>
      </c>
      <c r="E14" s="2">
        <v>46157</v>
      </c>
      <c r="F14" s="1"/>
      <c r="G14" t="s">
        <v>206</v>
      </c>
    </row>
    <row r="15" spans="2:7" ht="20.25" customHeight="1" x14ac:dyDescent="0.25">
      <c r="B15" s="1">
        <v>10</v>
      </c>
      <c r="C15" s="38" t="s">
        <v>86</v>
      </c>
      <c r="D15" s="2">
        <v>46132</v>
      </c>
      <c r="E15" s="2">
        <v>46136</v>
      </c>
      <c r="F15" s="1">
        <v>5</v>
      </c>
      <c r="G15" t="s">
        <v>207</v>
      </c>
    </row>
    <row r="16" spans="2:7" ht="20.25" customHeight="1" x14ac:dyDescent="0.25">
      <c r="B16" s="1">
        <v>11</v>
      </c>
      <c r="C16" s="38" t="s">
        <v>99</v>
      </c>
      <c r="D16" s="2">
        <v>46132</v>
      </c>
      <c r="E16" s="2">
        <v>46193</v>
      </c>
      <c r="F16" s="3"/>
    </row>
    <row r="17" spans="2:6" ht="20.25" customHeight="1" x14ac:dyDescent="0.25">
      <c r="B17" s="1">
        <v>12</v>
      </c>
      <c r="C17" s="38" t="s">
        <v>181</v>
      </c>
      <c r="D17" s="2">
        <v>46151</v>
      </c>
      <c r="E17" s="2">
        <v>46207</v>
      </c>
      <c r="F17" s="1"/>
    </row>
    <row r="18" spans="2:6" ht="20.25" customHeight="1" x14ac:dyDescent="0.25">
      <c r="B18" s="1">
        <v>13</v>
      </c>
      <c r="C18" s="38" t="s">
        <v>98</v>
      </c>
      <c r="D18" s="2">
        <v>46143</v>
      </c>
      <c r="E18" s="2">
        <v>46203</v>
      </c>
      <c r="F18" s="1"/>
    </row>
    <row r="19" spans="2:6" ht="20.25" customHeight="1" x14ac:dyDescent="0.25">
      <c r="B19" s="1">
        <v>14</v>
      </c>
      <c r="C19" s="60" t="s">
        <v>202</v>
      </c>
      <c r="D19" s="55">
        <v>46146</v>
      </c>
      <c r="E19" s="55">
        <v>46150</v>
      </c>
      <c r="F19" s="3"/>
    </row>
    <row r="20" spans="2:6" ht="21.75" customHeight="1" x14ac:dyDescent="0.25">
      <c r="B20" s="1">
        <v>15</v>
      </c>
      <c r="C20" s="38"/>
      <c r="D20" s="3"/>
      <c r="E20" s="3"/>
      <c r="F20" s="3"/>
    </row>
    <row r="21" spans="2:6" ht="21.75" customHeight="1" x14ac:dyDescent="0.25">
      <c r="B21" s="1">
        <v>16</v>
      </c>
      <c r="C21" s="38"/>
      <c r="D21" s="3"/>
      <c r="E21" s="3"/>
      <c r="F21" s="3"/>
    </row>
    <row r="22" spans="2:6" ht="21.75" customHeight="1" x14ac:dyDescent="0.25">
      <c r="B22" s="1">
        <v>17</v>
      </c>
      <c r="C22" s="38"/>
      <c r="D22" s="3"/>
      <c r="E22" s="3"/>
      <c r="F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Sheet2</vt:lpstr>
      <vt:lpstr>Jan -Leave</vt:lpstr>
      <vt:lpstr>Jan-MC</vt:lpstr>
      <vt:lpstr>Feb-MC</vt:lpstr>
      <vt:lpstr>Feb-Leave</vt:lpstr>
      <vt:lpstr>MAR-Leave</vt:lpstr>
      <vt:lpstr>Mar-MC </vt:lpstr>
      <vt:lpstr>Apr-MC</vt:lpstr>
      <vt:lpstr>Apr-Leave</vt:lpstr>
      <vt:lpstr>Master Leave Sheet</vt:lpstr>
      <vt:lpstr>May-Leave</vt:lpstr>
      <vt:lpstr>May-MC</vt:lpstr>
      <vt:lpstr>Home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 User</dc:creator>
  <cp:lastModifiedBy>AP@3si</cp:lastModifiedBy>
  <dcterms:created xsi:type="dcterms:W3CDTF">2025-12-01T06:12:05Z</dcterms:created>
  <dcterms:modified xsi:type="dcterms:W3CDTF">2026-05-06T09:59:32Z</dcterms:modified>
</cp:coreProperties>
</file>